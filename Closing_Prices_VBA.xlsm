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UHAMMAD HABIB\Downloads\"/>
    </mc:Choice>
  </mc:AlternateContent>
  <xr:revisionPtr revIDLastSave="0" documentId="13_ncr:1_{6C2A5C51-08B8-465B-B325-A19FF01EFFF9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Q1-5" sheetId="1" r:id="rId1"/>
    <sheet name="Q6-7" sheetId="2" r:id="rId2"/>
  </sheets>
  <functionGroups builtInGroupCount="19"/>
  <definedNames>
    <definedName name="_xlnm._FilterDatabase" localSheetId="0" hidden="1">'Q1-5'!$A$2:$G$128</definedName>
    <definedName name="solver_adj" localSheetId="0" hidden="1">'Q1-5'!$J$18:$J$20</definedName>
    <definedName name="solver_adj" localSheetId="1" hidden="1">'Q6-7'!$J$19:$L$19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lhs1" localSheetId="0" hidden="1">'Q1-5'!$J$18</definedName>
    <definedName name="solver_lhs1" localSheetId="1" hidden="1">'Q6-7'!$J$19</definedName>
    <definedName name="solver_lhs2" localSheetId="0" hidden="1">'Q1-5'!$J$18</definedName>
    <definedName name="solver_lhs2" localSheetId="1" hidden="1">'Q6-7'!$J$19</definedName>
    <definedName name="solver_lhs3" localSheetId="0" hidden="1">'Q1-5'!$J$19</definedName>
    <definedName name="solver_lhs3" localSheetId="1" hidden="1">'Q6-7'!$K$19</definedName>
    <definedName name="solver_lhs4" localSheetId="0" hidden="1">'Q1-5'!$J$19</definedName>
    <definedName name="solver_lhs4" localSheetId="1" hidden="1">'Q6-7'!$K$19</definedName>
    <definedName name="solver_lhs5" localSheetId="0" hidden="1">'Q1-5'!$J$20</definedName>
    <definedName name="solver_lhs5" localSheetId="1" hidden="1">'Q6-7'!$L$19</definedName>
    <definedName name="solver_lhs6" localSheetId="0" hidden="1">'Q1-5'!$J$20</definedName>
    <definedName name="solver_lhs7" localSheetId="0" hidden="1">'Q1-5'!$J$21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7</definedName>
    <definedName name="solver_num" localSheetId="1" hidden="1">5</definedName>
    <definedName name="solver_nwt" localSheetId="0" hidden="1">1</definedName>
    <definedName name="solver_nwt" localSheetId="1" hidden="1">1</definedName>
    <definedName name="solver_opt" localSheetId="0" hidden="1">'Q1-5'!$J$22</definedName>
    <definedName name="solver_opt" localSheetId="1" hidden="1">'Q6-7'!$F$8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el1" localSheetId="0" hidden="1">1</definedName>
    <definedName name="solver_rel1" localSheetId="1" hidden="1">1</definedName>
    <definedName name="solver_rel2" localSheetId="0" hidden="1">3</definedName>
    <definedName name="solver_rel2" localSheetId="1" hidden="1">3</definedName>
    <definedName name="solver_rel3" localSheetId="0" hidden="1">1</definedName>
    <definedName name="solver_rel3" localSheetId="1" hidden="1">1</definedName>
    <definedName name="solver_rel4" localSheetId="0" hidden="1">3</definedName>
    <definedName name="solver_rel4" localSheetId="1" hidden="1">3</definedName>
    <definedName name="solver_rel5" localSheetId="0" hidden="1">1</definedName>
    <definedName name="solver_rel5" localSheetId="1" hidden="1">2</definedName>
    <definedName name="solver_rel6" localSheetId="0" hidden="1">3</definedName>
    <definedName name="solver_rel7" localSheetId="0" hidden="1">2</definedName>
    <definedName name="solver_rhs1" localSheetId="0" hidden="1">1</definedName>
    <definedName name="solver_rhs1" localSheetId="1" hidden="1">1</definedName>
    <definedName name="solver_rhs2" localSheetId="0" hidden="1">0</definedName>
    <definedName name="solver_rhs2" localSheetId="1" hidden="1">0</definedName>
    <definedName name="solver_rhs3" localSheetId="0" hidden="1">1</definedName>
    <definedName name="solver_rhs3" localSheetId="1" hidden="1">1</definedName>
    <definedName name="solver_rhs4" localSheetId="0" hidden="1">0</definedName>
    <definedName name="solver_rhs4" localSheetId="1" hidden="1">0</definedName>
    <definedName name="solver_rhs5" localSheetId="0" hidden="1">1</definedName>
    <definedName name="solver_rhs5" localSheetId="1" hidden="1">1</definedName>
    <definedName name="solver_rhs6" localSheetId="0" hidden="1">0</definedName>
    <definedName name="solver_rhs7" localSheetId="0" hidden="1">1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2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/>
</workbook>
</file>

<file path=xl/calcChain.xml><?xml version="1.0" encoding="utf-8"?>
<calcChain xmlns="http://schemas.openxmlformats.org/spreadsheetml/2006/main">
  <c r="G134" i="1" l="1"/>
  <c r="F134" i="1"/>
  <c r="E134" i="1"/>
  <c r="E135" i="1"/>
  <c r="J21" i="1"/>
  <c r="I5" i="2"/>
  <c r="F7" i="2"/>
  <c r="F13" i="2"/>
  <c r="F14" i="2"/>
  <c r="F15" i="2"/>
  <c r="F16" i="2"/>
  <c r="F17" i="2"/>
  <c r="F18" i="2"/>
  <c r="F19" i="2"/>
  <c r="F20" i="2"/>
  <c r="F21" i="2"/>
  <c r="F22" i="2"/>
  <c r="F1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2" i="2"/>
  <c r="E5" i="1"/>
  <c r="F5" i="1"/>
  <c r="G5" i="1"/>
  <c r="E6" i="1"/>
  <c r="F6" i="1"/>
  <c r="G6" i="1"/>
  <c r="E7" i="1"/>
  <c r="F7" i="1"/>
  <c r="G7" i="1"/>
  <c r="E8" i="1"/>
  <c r="F8" i="1"/>
  <c r="G8" i="1"/>
  <c r="E9" i="1"/>
  <c r="F9" i="1"/>
  <c r="G9" i="1"/>
  <c r="E10" i="1"/>
  <c r="F10" i="1"/>
  <c r="G10" i="1"/>
  <c r="E11" i="1"/>
  <c r="F11" i="1"/>
  <c r="G11" i="1"/>
  <c r="E12" i="1"/>
  <c r="F12" i="1"/>
  <c r="G12" i="1"/>
  <c r="E13" i="1"/>
  <c r="F13" i="1"/>
  <c r="G13" i="1"/>
  <c r="E14" i="1"/>
  <c r="F14" i="1"/>
  <c r="G14" i="1"/>
  <c r="E15" i="1"/>
  <c r="F15" i="1"/>
  <c r="G15" i="1"/>
  <c r="E16" i="1"/>
  <c r="F16" i="1"/>
  <c r="G16" i="1"/>
  <c r="E17" i="1"/>
  <c r="F17" i="1"/>
  <c r="G17" i="1"/>
  <c r="E18" i="1"/>
  <c r="F18" i="1"/>
  <c r="G18" i="1"/>
  <c r="E19" i="1"/>
  <c r="F19" i="1"/>
  <c r="G19" i="1"/>
  <c r="E20" i="1"/>
  <c r="F20" i="1"/>
  <c r="G20" i="1"/>
  <c r="E21" i="1"/>
  <c r="F21" i="1"/>
  <c r="G21" i="1"/>
  <c r="E22" i="1"/>
  <c r="F22" i="1"/>
  <c r="G22" i="1"/>
  <c r="E23" i="1"/>
  <c r="F23" i="1"/>
  <c r="G23" i="1"/>
  <c r="E24" i="1"/>
  <c r="F24" i="1"/>
  <c r="G24" i="1"/>
  <c r="E25" i="1"/>
  <c r="F25" i="1"/>
  <c r="G25" i="1"/>
  <c r="E26" i="1"/>
  <c r="F26" i="1"/>
  <c r="G26" i="1"/>
  <c r="E27" i="1"/>
  <c r="F27" i="1"/>
  <c r="G27" i="1"/>
  <c r="E28" i="1"/>
  <c r="F28" i="1"/>
  <c r="G28" i="1"/>
  <c r="E29" i="1"/>
  <c r="F29" i="1"/>
  <c r="G29" i="1"/>
  <c r="E30" i="1"/>
  <c r="F30" i="1"/>
  <c r="G30" i="1"/>
  <c r="E31" i="1"/>
  <c r="F31" i="1"/>
  <c r="G31" i="1"/>
  <c r="E32" i="1"/>
  <c r="F32" i="1"/>
  <c r="G32" i="1"/>
  <c r="E33" i="1"/>
  <c r="F33" i="1"/>
  <c r="G33" i="1"/>
  <c r="E34" i="1"/>
  <c r="F34" i="1"/>
  <c r="G34" i="1"/>
  <c r="E35" i="1"/>
  <c r="F35" i="1"/>
  <c r="G35" i="1"/>
  <c r="E36" i="1"/>
  <c r="F36" i="1"/>
  <c r="G36" i="1"/>
  <c r="E37" i="1"/>
  <c r="F37" i="1"/>
  <c r="G37" i="1"/>
  <c r="E38" i="1"/>
  <c r="F38" i="1"/>
  <c r="G38" i="1"/>
  <c r="E39" i="1"/>
  <c r="F39" i="1"/>
  <c r="G39" i="1"/>
  <c r="E40" i="1"/>
  <c r="F40" i="1"/>
  <c r="G40" i="1"/>
  <c r="E41" i="1"/>
  <c r="F41" i="1"/>
  <c r="G41" i="1"/>
  <c r="E42" i="1"/>
  <c r="F42" i="1"/>
  <c r="G42" i="1"/>
  <c r="E43" i="1"/>
  <c r="F43" i="1"/>
  <c r="G43" i="1"/>
  <c r="E44" i="1"/>
  <c r="F44" i="1"/>
  <c r="G44" i="1"/>
  <c r="E45" i="1"/>
  <c r="F45" i="1"/>
  <c r="G45" i="1"/>
  <c r="E46" i="1"/>
  <c r="F46" i="1"/>
  <c r="G46" i="1"/>
  <c r="E47" i="1"/>
  <c r="F47" i="1"/>
  <c r="G47" i="1"/>
  <c r="E48" i="1"/>
  <c r="F48" i="1"/>
  <c r="G48" i="1"/>
  <c r="E49" i="1"/>
  <c r="F49" i="1"/>
  <c r="G49" i="1"/>
  <c r="E50" i="1"/>
  <c r="F50" i="1"/>
  <c r="G50" i="1"/>
  <c r="E51" i="1"/>
  <c r="F51" i="1"/>
  <c r="G51" i="1"/>
  <c r="E52" i="1"/>
  <c r="F52" i="1"/>
  <c r="G52" i="1"/>
  <c r="E53" i="1"/>
  <c r="F53" i="1"/>
  <c r="G53" i="1"/>
  <c r="E54" i="1"/>
  <c r="F54" i="1"/>
  <c r="G54" i="1"/>
  <c r="E55" i="1"/>
  <c r="F55" i="1"/>
  <c r="G55" i="1"/>
  <c r="E56" i="1"/>
  <c r="F56" i="1"/>
  <c r="G56" i="1"/>
  <c r="E57" i="1"/>
  <c r="F57" i="1"/>
  <c r="G57" i="1"/>
  <c r="E58" i="1"/>
  <c r="F58" i="1"/>
  <c r="G58" i="1"/>
  <c r="E59" i="1"/>
  <c r="F59" i="1"/>
  <c r="G59" i="1"/>
  <c r="E60" i="1"/>
  <c r="F60" i="1"/>
  <c r="G60" i="1"/>
  <c r="E61" i="1"/>
  <c r="F61" i="1"/>
  <c r="G61" i="1"/>
  <c r="E62" i="1"/>
  <c r="F62" i="1"/>
  <c r="G62" i="1"/>
  <c r="E63" i="1"/>
  <c r="F63" i="1"/>
  <c r="G63" i="1"/>
  <c r="E64" i="1"/>
  <c r="F64" i="1"/>
  <c r="G64" i="1"/>
  <c r="E65" i="1"/>
  <c r="F65" i="1"/>
  <c r="G65" i="1"/>
  <c r="E66" i="1"/>
  <c r="F66" i="1"/>
  <c r="G66" i="1"/>
  <c r="E67" i="1"/>
  <c r="F67" i="1"/>
  <c r="G67" i="1"/>
  <c r="E68" i="1"/>
  <c r="F68" i="1"/>
  <c r="G68" i="1"/>
  <c r="E69" i="1"/>
  <c r="F69" i="1"/>
  <c r="G69" i="1"/>
  <c r="E70" i="1"/>
  <c r="F70" i="1"/>
  <c r="G70" i="1"/>
  <c r="E71" i="1"/>
  <c r="F71" i="1"/>
  <c r="G71" i="1"/>
  <c r="E72" i="1"/>
  <c r="F72" i="1"/>
  <c r="G72" i="1"/>
  <c r="E73" i="1"/>
  <c r="F73" i="1"/>
  <c r="G73" i="1"/>
  <c r="E74" i="1"/>
  <c r="F74" i="1"/>
  <c r="G74" i="1"/>
  <c r="E75" i="1"/>
  <c r="F75" i="1"/>
  <c r="G75" i="1"/>
  <c r="E76" i="1"/>
  <c r="F76" i="1"/>
  <c r="G76" i="1"/>
  <c r="E77" i="1"/>
  <c r="F77" i="1"/>
  <c r="G77" i="1"/>
  <c r="E78" i="1"/>
  <c r="F78" i="1"/>
  <c r="G78" i="1"/>
  <c r="E79" i="1"/>
  <c r="F79" i="1"/>
  <c r="G79" i="1"/>
  <c r="E80" i="1"/>
  <c r="F80" i="1"/>
  <c r="G80" i="1"/>
  <c r="E81" i="1"/>
  <c r="F81" i="1"/>
  <c r="G81" i="1"/>
  <c r="E82" i="1"/>
  <c r="F82" i="1"/>
  <c r="G82" i="1"/>
  <c r="E83" i="1"/>
  <c r="F83" i="1"/>
  <c r="G83" i="1"/>
  <c r="E84" i="1"/>
  <c r="F84" i="1"/>
  <c r="G84" i="1"/>
  <c r="E85" i="1"/>
  <c r="F85" i="1"/>
  <c r="G85" i="1"/>
  <c r="E86" i="1"/>
  <c r="F86" i="1"/>
  <c r="G86" i="1"/>
  <c r="E87" i="1"/>
  <c r="F87" i="1"/>
  <c r="G87" i="1"/>
  <c r="E88" i="1"/>
  <c r="F88" i="1"/>
  <c r="G88" i="1"/>
  <c r="E89" i="1"/>
  <c r="F89" i="1"/>
  <c r="G89" i="1"/>
  <c r="E90" i="1"/>
  <c r="F90" i="1"/>
  <c r="G90" i="1"/>
  <c r="E91" i="1"/>
  <c r="F91" i="1"/>
  <c r="G91" i="1"/>
  <c r="E92" i="1"/>
  <c r="F92" i="1"/>
  <c r="G92" i="1"/>
  <c r="E93" i="1"/>
  <c r="F93" i="1"/>
  <c r="G93" i="1"/>
  <c r="E94" i="1"/>
  <c r="F94" i="1"/>
  <c r="G94" i="1"/>
  <c r="E95" i="1"/>
  <c r="F95" i="1"/>
  <c r="G95" i="1"/>
  <c r="E96" i="1"/>
  <c r="F96" i="1"/>
  <c r="G96" i="1"/>
  <c r="E97" i="1"/>
  <c r="F97" i="1"/>
  <c r="G97" i="1"/>
  <c r="E98" i="1"/>
  <c r="F98" i="1"/>
  <c r="G98" i="1"/>
  <c r="E99" i="1"/>
  <c r="F99" i="1"/>
  <c r="G99" i="1"/>
  <c r="E100" i="1"/>
  <c r="F100" i="1"/>
  <c r="G100" i="1"/>
  <c r="E101" i="1"/>
  <c r="F101" i="1"/>
  <c r="G101" i="1"/>
  <c r="E102" i="1"/>
  <c r="F102" i="1"/>
  <c r="G102" i="1"/>
  <c r="E103" i="1"/>
  <c r="F103" i="1"/>
  <c r="G103" i="1"/>
  <c r="E104" i="1"/>
  <c r="F104" i="1"/>
  <c r="G104" i="1"/>
  <c r="E105" i="1"/>
  <c r="F105" i="1"/>
  <c r="G105" i="1"/>
  <c r="E106" i="1"/>
  <c r="F106" i="1"/>
  <c r="G106" i="1"/>
  <c r="E107" i="1"/>
  <c r="F107" i="1"/>
  <c r="G107" i="1"/>
  <c r="E108" i="1"/>
  <c r="F108" i="1"/>
  <c r="G108" i="1"/>
  <c r="E109" i="1"/>
  <c r="F109" i="1"/>
  <c r="G109" i="1"/>
  <c r="E110" i="1"/>
  <c r="F110" i="1"/>
  <c r="G110" i="1"/>
  <c r="E111" i="1"/>
  <c r="F111" i="1"/>
  <c r="G111" i="1"/>
  <c r="E112" i="1"/>
  <c r="F112" i="1"/>
  <c r="G112" i="1"/>
  <c r="E113" i="1"/>
  <c r="F113" i="1"/>
  <c r="G113" i="1"/>
  <c r="E114" i="1"/>
  <c r="F114" i="1"/>
  <c r="G114" i="1"/>
  <c r="E115" i="1"/>
  <c r="F115" i="1"/>
  <c r="G115" i="1"/>
  <c r="E116" i="1"/>
  <c r="F116" i="1"/>
  <c r="G116" i="1"/>
  <c r="E117" i="1"/>
  <c r="F117" i="1"/>
  <c r="G117" i="1"/>
  <c r="E118" i="1"/>
  <c r="F118" i="1"/>
  <c r="G118" i="1"/>
  <c r="E119" i="1"/>
  <c r="F119" i="1"/>
  <c r="G119" i="1"/>
  <c r="E120" i="1"/>
  <c r="F120" i="1"/>
  <c r="G120" i="1"/>
  <c r="E121" i="1"/>
  <c r="F121" i="1"/>
  <c r="G121" i="1"/>
  <c r="E122" i="1"/>
  <c r="F122" i="1"/>
  <c r="G122" i="1"/>
  <c r="E123" i="1"/>
  <c r="F123" i="1"/>
  <c r="G123" i="1"/>
  <c r="E124" i="1"/>
  <c r="F124" i="1"/>
  <c r="G124" i="1"/>
  <c r="E125" i="1"/>
  <c r="F125" i="1"/>
  <c r="G125" i="1"/>
  <c r="E126" i="1"/>
  <c r="F126" i="1"/>
  <c r="G126" i="1"/>
  <c r="E127" i="1"/>
  <c r="F127" i="1"/>
  <c r="G127" i="1"/>
  <c r="E128" i="1"/>
  <c r="F128" i="1"/>
  <c r="G128" i="1"/>
  <c r="F4" i="1"/>
  <c r="G4" i="1"/>
  <c r="E4" i="1"/>
  <c r="F135" i="1"/>
  <c r="G135" i="1"/>
  <c r="F6" i="2" l="1"/>
  <c r="G4" i="2"/>
  <c r="H4" i="2"/>
  <c r="G3" i="2"/>
  <c r="H3" i="2"/>
  <c r="K15" i="1"/>
  <c r="J15" i="1"/>
  <c r="K2" i="1"/>
  <c r="J2" i="1"/>
  <c r="N19" i="2" l="1"/>
  <c r="M19" i="2"/>
  <c r="G13" i="2"/>
  <c r="G17" i="2"/>
  <c r="G21" i="2"/>
  <c r="G14" i="2"/>
  <c r="G18" i="2"/>
  <c r="G22" i="2"/>
  <c r="G15" i="2"/>
  <c r="G19" i="2"/>
  <c r="G12" i="2"/>
  <c r="G16" i="2"/>
  <c r="G20" i="2"/>
  <c r="G131" i="1"/>
  <c r="F131" i="1"/>
  <c r="E131" i="1"/>
  <c r="F8" i="2" l="1"/>
  <c r="H14" i="2"/>
  <c r="H18" i="2"/>
  <c r="H22" i="2"/>
  <c r="H15" i="2"/>
  <c r="H19" i="2"/>
  <c r="H12" i="2"/>
  <c r="H16" i="2"/>
  <c r="H20" i="2"/>
  <c r="H13" i="2"/>
  <c r="H17" i="2"/>
  <c r="H21" i="2"/>
  <c r="L2" i="1"/>
  <c r="L15" i="1"/>
  <c r="J23" i="1" s="1"/>
  <c r="J6" i="1"/>
  <c r="J5" i="1"/>
  <c r="J7" i="1"/>
  <c r="J3" i="1"/>
  <c r="K3" i="1"/>
  <c r="L3" i="1"/>
  <c r="E130" i="1"/>
  <c r="E132" i="1" s="1"/>
  <c r="F130" i="1"/>
  <c r="F132" i="1" s="1"/>
  <c r="J13" i="1"/>
  <c r="G130" i="1"/>
  <c r="G132" i="1" s="1"/>
  <c r="L11" i="1"/>
  <c r="L13" i="1"/>
  <c r="L12" i="1"/>
  <c r="K11" i="1"/>
  <c r="J12" i="1"/>
  <c r="J11" i="1"/>
  <c r="K12" i="1"/>
  <c r="K13" i="1"/>
  <c r="J22" i="1" l="1"/>
</calcChain>
</file>

<file path=xl/sharedStrings.xml><?xml version="1.0" encoding="utf-8"?>
<sst xmlns="http://schemas.openxmlformats.org/spreadsheetml/2006/main" count="62" uniqueCount="36">
  <si>
    <t>Date</t>
  </si>
  <si>
    <t>Daily Return</t>
  </si>
  <si>
    <t>Daily Volatility</t>
  </si>
  <si>
    <t>CAGR</t>
  </si>
  <si>
    <t>Annualized volatilty</t>
  </si>
  <si>
    <t>Covariance Matrix</t>
  </si>
  <si>
    <t>Weights</t>
  </si>
  <si>
    <t>Expected returns</t>
  </si>
  <si>
    <t>Expected Portfolio returns</t>
  </si>
  <si>
    <t>Total</t>
  </si>
  <si>
    <t>St. deviation daily returns</t>
  </si>
  <si>
    <t>Daily Ex. Return</t>
  </si>
  <si>
    <t>Portfolio St. deviation</t>
  </si>
  <si>
    <t xml:space="preserve"> </t>
  </si>
  <si>
    <t>w</t>
  </si>
  <si>
    <t>Weight Allocation</t>
  </si>
  <si>
    <t>E(R_p)</t>
  </si>
  <si>
    <t>Std. dev.</t>
  </si>
  <si>
    <t>Covariance_1,2</t>
  </si>
  <si>
    <t>Sharpe (w)</t>
  </si>
  <si>
    <t>weights</t>
  </si>
  <si>
    <t>Portfolio Std. Dev.</t>
  </si>
  <si>
    <t>Exp. Portfolio returns</t>
  </si>
  <si>
    <t>Daily Rf</t>
  </si>
  <si>
    <t>OCP Std. Dev</t>
  </si>
  <si>
    <t>OCP Returns</t>
  </si>
  <si>
    <t>Abbvie</t>
  </si>
  <si>
    <t>Align</t>
  </si>
  <si>
    <t>Agilent</t>
  </si>
  <si>
    <t>Correlation (Abbvie, Align)</t>
  </si>
  <si>
    <t>Correlation (Abbvie, Agilent)</t>
  </si>
  <si>
    <t>Correlation (Align, Agilent)</t>
  </si>
  <si>
    <t>Source: Market Watch</t>
  </si>
  <si>
    <t xml:space="preserve">As of Mar 3, 2025, the 52-week US T-bill rate = </t>
  </si>
  <si>
    <t>CAGR_VBA</t>
  </si>
  <si>
    <t>Annualized volatilty_VBA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</si>
</sst>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0.0000000"/>
    <numFmt numFmtId="165" formatCode="0.000000"/>
    <numFmt numFmtId="166" formatCode="0.0000%"/>
    <numFmt numFmtId="167" formatCode="0.00000%"/>
    <numFmt numFmtId="168" formatCode="0.000000%"/>
    <numFmt numFmtId="169" formatCode="0.0"/>
    <numFmt numFmtId="170" formatCode="0.000%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u/>
      <sz val="11"/>
      <color theme="1"/>
      <name val="Arial"/>
      <family val="2"/>
    </font>
    <font>
      <sz val="11"/>
      <color theme="0"/>
      <name val="Arial"/>
      <family val="2"/>
    </font>
    <font>
      <sz val="11"/>
      <color rgb="FF006100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sz val="11"/>
      <color theme="1" tint="0.24997711111789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1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4" fillId="8" borderId="0" applyNumberFormat="0" applyBorder="0" applyAlignment="0" applyProtection="0"/>
    <xf numFmtId="0" fontId="1" fillId="9" borderId="0" applyNumberFormat="0" applyBorder="0" applyAlignment="0" applyProtection="0"/>
  </cellStyleXfs>
  <cellXfs count="54">
    <xf numFmtId="0" fontId="0" fillId="0" borderId="0" xfId="0"/>
    <xf numFmtId="0" fontId="5" fillId="7" borderId="1" xfId="8" applyFont="1" applyBorder="1" applyAlignment="1">
      <alignment horizontal="center" vertical="top"/>
    </xf>
    <xf numFmtId="0" fontId="5" fillId="7" borderId="1" xfId="8" applyFont="1" applyBorder="1"/>
    <xf numFmtId="14" fontId="5" fillId="7" borderId="0" xfId="8" applyNumberFormat="1" applyFont="1"/>
    <xf numFmtId="166" fontId="5" fillId="7" borderId="0" xfId="8" applyNumberFormat="1" applyFont="1"/>
    <xf numFmtId="0" fontId="5" fillId="0" borderId="0" xfId="0" applyFont="1"/>
    <xf numFmtId="0" fontId="5" fillId="10" borderId="0" xfId="0" applyFont="1" applyFill="1"/>
    <xf numFmtId="9" fontId="5" fillId="0" borderId="0" xfId="0" applyNumberFormat="1" applyFont="1"/>
    <xf numFmtId="166" fontId="5" fillId="0" borderId="0" xfId="1" applyNumberFormat="1" applyFont="1"/>
    <xf numFmtId="10" fontId="5" fillId="0" borderId="0" xfId="1" applyNumberFormat="1" applyFont="1"/>
    <xf numFmtId="10" fontId="5" fillId="0" borderId="0" xfId="0" applyNumberFormat="1" applyFont="1"/>
    <xf numFmtId="0" fontId="7" fillId="0" borderId="0" xfId="0" applyFont="1"/>
    <xf numFmtId="9" fontId="5" fillId="0" borderId="0" xfId="1" applyFont="1"/>
    <xf numFmtId="168" fontId="5" fillId="0" borderId="0" xfId="0" applyNumberFormat="1" applyFont="1"/>
    <xf numFmtId="169" fontId="5" fillId="0" borderId="0" xfId="1" applyNumberFormat="1" applyFont="1"/>
    <xf numFmtId="2" fontId="5" fillId="0" borderId="0" xfId="0" applyNumberFormat="1" applyFont="1"/>
    <xf numFmtId="0" fontId="5" fillId="0" borderId="0" xfId="1" applyNumberFormat="1" applyFont="1"/>
    <xf numFmtId="0" fontId="8" fillId="5" borderId="0" xfId="6" applyFont="1"/>
    <xf numFmtId="0" fontId="9" fillId="2" borderId="0" xfId="2" applyFont="1"/>
    <xf numFmtId="0" fontId="5" fillId="7" borderId="2" xfId="8" applyFont="1" applyBorder="1" applyAlignment="1">
      <alignment horizontal="center" vertical="top"/>
    </xf>
    <xf numFmtId="0" fontId="5" fillId="7" borderId="0" xfId="8" applyFont="1"/>
    <xf numFmtId="170" fontId="5" fillId="0" borderId="0" xfId="1" applyNumberFormat="1" applyFont="1"/>
    <xf numFmtId="167" fontId="5" fillId="0" borderId="0" xfId="1" applyNumberFormat="1" applyFont="1"/>
    <xf numFmtId="0" fontId="10" fillId="10" borderId="0" xfId="3" applyFont="1" applyFill="1" applyAlignment="1"/>
    <xf numFmtId="10" fontId="10" fillId="10" borderId="0" xfId="3" applyNumberFormat="1" applyFont="1" applyFill="1" applyAlignment="1"/>
    <xf numFmtId="166" fontId="5" fillId="6" borderId="0" xfId="7" applyNumberFormat="1" applyFont="1"/>
    <xf numFmtId="0" fontId="5" fillId="6" borderId="0" xfId="7" applyFont="1"/>
    <xf numFmtId="9" fontId="5" fillId="6" borderId="0" xfId="1" applyFont="1" applyFill="1" applyAlignment="1">
      <alignment horizontal="center"/>
    </xf>
    <xf numFmtId="0" fontId="5" fillId="9" borderId="1" xfId="10" applyFont="1" applyBorder="1" applyAlignment="1">
      <alignment horizontal="center" vertical="top"/>
    </xf>
    <xf numFmtId="0" fontId="5" fillId="9" borderId="1" xfId="10" applyFont="1" applyBorder="1" applyAlignment="1">
      <alignment horizontal="center" vertical="top" wrapText="1"/>
    </xf>
    <xf numFmtId="0" fontId="6" fillId="0" borderId="2" xfId="0" applyFont="1" applyBorder="1" applyAlignment="1">
      <alignment horizontal="center" vertical="top"/>
    </xf>
    <xf numFmtId="0" fontId="8" fillId="5" borderId="0" xfId="6" applyFont="1" applyAlignment="1">
      <alignment horizontal="center" wrapText="1"/>
    </xf>
    <xf numFmtId="0" fontId="5" fillId="0" borderId="0" xfId="0" applyFont="1" applyAlignment="1">
      <alignment horizontal="center"/>
    </xf>
    <xf numFmtId="14" fontId="5" fillId="9" borderId="0" xfId="10" applyNumberFormat="1" applyFont="1"/>
    <xf numFmtId="8" fontId="5" fillId="9" borderId="0" xfId="10" applyNumberFormat="1" applyFont="1"/>
    <xf numFmtId="0" fontId="8" fillId="5" borderId="0" xfId="6" applyFont="1" applyAlignment="1">
      <alignment horizontal="center"/>
    </xf>
    <xf numFmtId="166" fontId="5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9" fillId="2" borderId="0" xfId="2" applyFont="1" applyAlignment="1">
      <alignment horizontal="center"/>
    </xf>
    <xf numFmtId="0" fontId="8" fillId="3" borderId="0" xfId="4" applyFont="1"/>
    <xf numFmtId="0" fontId="8" fillId="3" borderId="0" xfId="4" applyFont="1" applyAlignment="1">
      <alignment horizontal="center" vertical="center"/>
    </xf>
    <xf numFmtId="165" fontId="5" fillId="0" borderId="0" xfId="0" applyNumberFormat="1" applyFont="1"/>
    <xf numFmtId="164" fontId="5" fillId="0" borderId="0" xfId="0" applyNumberFormat="1" applyFont="1"/>
    <xf numFmtId="0" fontId="6" fillId="0" borderId="0" xfId="0" applyFont="1"/>
    <xf numFmtId="0" fontId="6" fillId="0" borderId="0" xfId="0" applyFont="1" applyAlignment="1">
      <alignment wrapText="1"/>
    </xf>
    <xf numFmtId="0" fontId="8" fillId="4" borderId="3" xfId="5" applyFont="1" applyBorder="1"/>
    <xf numFmtId="0" fontId="8" fillId="4" borderId="3" xfId="5" applyFont="1" applyBorder="1" applyAlignment="1">
      <alignment wrapText="1"/>
    </xf>
    <xf numFmtId="0" fontId="6" fillId="7" borderId="0" xfId="8" applyFont="1" applyAlignment="1">
      <alignment horizontal="center"/>
    </xf>
    <xf numFmtId="0" fontId="11" fillId="0" borderId="0" xfId="0" applyFont="1" applyAlignment="1">
      <alignment horizontal="center"/>
    </xf>
    <xf numFmtId="0" fontId="8" fillId="8" borderId="0" xfId="9" applyFont="1" applyAlignment="1">
      <alignment horizontal="center" vertical="center" wrapText="1"/>
    </xf>
    <xf numFmtId="0" fontId="8" fillId="8" borderId="0" xfId="9" applyFont="1" applyAlignment="1">
      <alignment horizontal="center" vertical="center"/>
    </xf>
    <xf numFmtId="0" fontId="8" fillId="3" borderId="0" xfId="4" applyFont="1" applyBorder="1" applyAlignment="1">
      <alignment horizontal="center"/>
    </xf>
    <xf numFmtId="0" fontId="12" fillId="11" borderId="0" xfId="9" applyFont="1" applyFill="1" applyAlignment="1">
      <alignment horizontal="center" vertical="center"/>
    </xf>
    <xf numFmtId="10" fontId="5" fillId="12" borderId="0" xfId="0" applyNumberFormat="1" applyFont="1" applyFill="1"/>
  </cellXfs>
  <cellStyles count="11">
    <cellStyle name="40% - Accent4" xfId="7" builtinId="43"/>
    <cellStyle name="40% - Accent6" xfId="10" builtinId="51"/>
    <cellStyle name="60% - Accent5" xfId="8" builtinId="48"/>
    <cellStyle name="Accent1" xfId="4" builtinId="29"/>
    <cellStyle name="Accent2" xfId="5" builtinId="33"/>
    <cellStyle name="Accent3" xfId="6" builtinId="37"/>
    <cellStyle name="Accent6" xfId="9" builtinId="49"/>
    <cellStyle name="Good" xfId="2" builtinId="26"/>
    <cellStyle name="Normal" xfId="0" builtinId="0"/>
    <cellStyle name="Percent" xfId="1" builtinId="5"/>
    <cellStyle name="Warning Text" xfId="3" builtinId="11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0.0000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0.00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0.0"/>
    </dxf>
    <dxf>
      <border outline="0">
        <top style="thin">
          <color indexed="64"/>
        </top>
      </border>
    </dxf>
    <dxf>
      <font>
        <strike val="0"/>
        <outline val="0"/>
        <shadow val="0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vertAlign val="baseline"/>
        <sz val="11"/>
        <color theme="1"/>
        <name val="Arial"/>
        <family val="2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'Q6-7'!$G$12:$G$22</c:f>
              <c:numCache>
                <c:formatCode>0.0000%</c:formatCode>
                <c:ptCount val="11"/>
                <c:pt idx="0">
                  <c:v>1.4943362833370753E-2</c:v>
                </c:pt>
                <c:pt idx="1">
                  <c:v>1.3895112291698954E-2</c:v>
                </c:pt>
                <c:pt idx="2">
                  <c:v>1.3097046542380345E-2</c:v>
                </c:pt>
                <c:pt idx="3">
                  <c:v>1.2596806753015895E-2</c:v>
                </c:pt>
                <c:pt idx="4">
                  <c:v>1.2430401534848879E-2</c:v>
                </c:pt>
                <c:pt idx="5">
                  <c:v>1.2611052849287263E-2</c:v>
                </c:pt>
                <c:pt idx="6">
                  <c:v>1.3124437333564281E-2</c:v>
                </c:pt>
                <c:pt idx="7">
                  <c:v>1.3933825260243215E-2</c:v>
                </c:pt>
                <c:pt idx="8">
                  <c:v>1.4991349077001857E-2</c:v>
                </c:pt>
                <c:pt idx="9">
                  <c:v>1.6248631869152968E-2</c:v>
                </c:pt>
                <c:pt idx="10">
                  <c:v>1.7663067621315923E-2</c:v>
                </c:pt>
              </c:numCache>
            </c:numRef>
          </c:xVal>
          <c:yVal>
            <c:numRef>
              <c:f>'Q6-7'!$H$12:$H$22</c:f>
              <c:numCache>
                <c:formatCode>0.000000%</c:formatCode>
                <c:ptCount val="11"/>
                <c:pt idx="0">
                  <c:v>1.6111111111111111E-4</c:v>
                </c:pt>
                <c:pt idx="1">
                  <c:v>1.45E-4</c:v>
                </c:pt>
                <c:pt idx="2">
                  <c:v>1.2888888888888889E-4</c:v>
                </c:pt>
                <c:pt idx="3">
                  <c:v>1.1277777777777776E-4</c:v>
                </c:pt>
                <c:pt idx="4">
                  <c:v>9.6666666666666667E-5</c:v>
                </c:pt>
                <c:pt idx="5">
                  <c:v>8.0555555555555556E-5</c:v>
                </c:pt>
                <c:pt idx="6">
                  <c:v>6.4444444444444445E-5</c:v>
                </c:pt>
                <c:pt idx="7">
                  <c:v>4.833333333333334E-5</c:v>
                </c:pt>
                <c:pt idx="8">
                  <c:v>3.2222222222222216E-5</c:v>
                </c:pt>
                <c:pt idx="9">
                  <c:v>1.6111111111111108E-5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A2-44E9-96AB-9547628D10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5619183"/>
        <c:axId val="1925608623"/>
      </c:scatterChart>
      <c:valAx>
        <c:axId val="1925619183"/>
        <c:scaling>
          <c:orientation val="minMax"/>
          <c:min val="1.0000000000000002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25608623"/>
        <c:crosses val="autoZero"/>
        <c:crossBetween val="midCat"/>
        <c:minorUnit val="2.0000000000000005E-3"/>
      </c:valAx>
      <c:valAx>
        <c:axId val="192560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256191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>
          <a:solidFill>
            <a:schemeClr val="tx1">
              <a:lumMod val="95000"/>
              <a:lumOff val="5000"/>
            </a:schemeClr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6350</xdr:colOff>
      <xdr:row>1</xdr:row>
      <xdr:rowOff>6350</xdr:rowOff>
    </xdr:from>
    <xdr:to>
      <xdr:col>14</xdr:col>
      <xdr:colOff>184150</xdr:colOff>
      <xdr:row>15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37E73C-9F63-8170-2F62-B457904F73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6E302C-57F2-45DB-B292-0CE01441092B}" name="Table2" displayName="Table2" ref="E11:H22" totalsRowShown="0" headerRowDxfId="6" dataDxfId="5" tableBorderDxfId="4">
  <autoFilter ref="E11:H22" xr:uid="{906E302C-57F2-45DB-B292-0CE01441092B}"/>
  <tableColumns count="4">
    <tableColumn id="1" xr3:uid="{A3E35500-6E53-4986-8DAE-C135AF8E0E0D}" name="Abbvie" dataDxfId="3" dataCellStyle="Percent"/>
    <tableColumn id="2" xr3:uid="{791B1508-2CAA-43F4-815D-D63C6E274665}" name="Agilent" dataDxfId="2" dataCellStyle="Percent">
      <calculatedColumnFormula>1-E12</calculatedColumnFormula>
    </tableColumn>
    <tableColumn id="3" xr3:uid="{03A562A8-38B4-4947-A15A-FB876965428B}" name="OCP Std. Dev" dataDxfId="1" dataCellStyle="Percent">
      <calculatedColumnFormula>SQRT(E12^2*$G$4^2+F12^2*$H$4^2+2*E12*F12*$F$6*$G$4*$H$4)</calculatedColumnFormula>
    </tableColumn>
    <tableColumn id="4" xr3:uid="{654F7DA3-77BE-4DA8-9B16-23FBEE2D26B8}" name="OCP Returns" dataDxfId="0">
      <calculatedColumnFormula>E12*$K$5+F12*$F$7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35"/>
  <sheetViews>
    <sheetView tabSelected="1" topLeftCell="A124" workbookViewId="0">
      <selection activeCell="A128" sqref="A128:XFD128"/>
    </sheetView>
  </sheetViews>
  <sheetFormatPr defaultColWidth="8.7109375" defaultRowHeight="14.25" x14ac:dyDescent="0.2"/>
  <cols>
    <col min="1" max="1" width="11.28515625" style="5" bestFit="1" customWidth="1"/>
    <col min="2" max="2" width="9.140625" style="5" bestFit="1" customWidth="1"/>
    <col min="3" max="3" width="9" style="5" bestFit="1" customWidth="1"/>
    <col min="4" max="4" width="9.5703125" style="5" customWidth="1"/>
    <col min="5" max="5" width="23.7109375" style="5" customWidth="1"/>
    <col min="6" max="6" width="9.85546875" style="5" bestFit="1" customWidth="1"/>
    <col min="7" max="7" width="9.5703125" style="5" bestFit="1" customWidth="1"/>
    <col min="8" max="8" width="8.7109375" style="5"/>
    <col min="9" max="9" width="26" style="5" bestFit="1" customWidth="1"/>
    <col min="10" max="11" width="10.85546875" style="5" bestFit="1" customWidth="1"/>
    <col min="12" max="12" width="12.5703125" style="5" bestFit="1" customWidth="1"/>
    <col min="13" max="13" width="5.85546875" style="5" bestFit="1" customWidth="1"/>
    <col min="14" max="14" width="11.5703125" style="5" bestFit="1" customWidth="1"/>
    <col min="15" max="15" width="8.85546875" style="5" bestFit="1" customWidth="1"/>
    <col min="16" max="16384" width="8.7109375" style="5"/>
  </cols>
  <sheetData>
    <row r="1" spans="1:13" ht="15" x14ac:dyDescent="0.25">
      <c r="E1" s="47" t="s">
        <v>1</v>
      </c>
      <c r="F1" s="47"/>
      <c r="G1" s="47"/>
      <c r="J1" s="17" t="s">
        <v>26</v>
      </c>
      <c r="K1" s="17" t="s">
        <v>27</v>
      </c>
      <c r="L1" s="17" t="s">
        <v>28</v>
      </c>
    </row>
    <row r="2" spans="1:13" ht="15" x14ac:dyDescent="0.2">
      <c r="A2" s="28" t="s">
        <v>0</v>
      </c>
      <c r="B2" s="28" t="s">
        <v>26</v>
      </c>
      <c r="C2" s="28" t="s">
        <v>27</v>
      </c>
      <c r="D2" s="29" t="s">
        <v>28</v>
      </c>
      <c r="E2" s="19" t="s">
        <v>26</v>
      </c>
      <c r="F2" s="19" t="s">
        <v>27</v>
      </c>
      <c r="G2" s="19" t="s">
        <v>28</v>
      </c>
      <c r="H2" s="30"/>
      <c r="I2" s="31" t="s">
        <v>10</v>
      </c>
      <c r="J2" s="32">
        <f>_xlfn.STDEV.S(E3:E128)</f>
        <v>1.7663067621315923E-2</v>
      </c>
      <c r="K2" s="32">
        <f>_xlfn.STDEV.S(F3:F128)</f>
        <v>2.2165501658893683E-2</v>
      </c>
      <c r="L2" s="32">
        <f>_xlfn.STDEV.S(G3:G128)</f>
        <v>1.4943362833370753E-2</v>
      </c>
    </row>
    <row r="3" spans="1:13" x14ac:dyDescent="0.2">
      <c r="A3" s="33">
        <v>45524</v>
      </c>
      <c r="B3" s="34">
        <v>196.15</v>
      </c>
      <c r="C3" s="34">
        <v>233.23</v>
      </c>
      <c r="D3" s="34">
        <v>139.75</v>
      </c>
      <c r="E3" s="20"/>
      <c r="F3" s="20"/>
      <c r="G3" s="20"/>
      <c r="I3" s="35" t="s">
        <v>11</v>
      </c>
      <c r="J3" s="36">
        <f>AVERAGE(E4:E128)</f>
        <v>3.5013189707545521E-4</v>
      </c>
      <c r="K3" s="36">
        <f t="shared" ref="K3:L3" si="0">AVERAGE(F4:F128)</f>
        <v>-1.0635729293636917E-3</v>
      </c>
      <c r="L3" s="36">
        <f t="shared" si="0"/>
        <v>-6.1098648248466601E-5</v>
      </c>
    </row>
    <row r="4" spans="1:13" ht="15" x14ac:dyDescent="0.25">
      <c r="A4" s="33">
        <v>45525</v>
      </c>
      <c r="B4" s="34">
        <v>196.53</v>
      </c>
      <c r="C4" s="34">
        <v>235.13</v>
      </c>
      <c r="D4" s="34">
        <v>139.99</v>
      </c>
      <c r="E4" s="4">
        <f>(B4-B3)/B3</f>
        <v>1.9372928880958217E-3</v>
      </c>
      <c r="F4" s="4">
        <f t="shared" ref="F4:G4" si="1">(C4-C3)/C3</f>
        <v>8.1464648630107869E-3</v>
      </c>
      <c r="G4" s="4">
        <f t="shared" si="1"/>
        <v>1.7173524150268988E-3</v>
      </c>
      <c r="I4" s="37"/>
      <c r="J4" s="36"/>
      <c r="K4" s="36"/>
      <c r="L4" s="36"/>
    </row>
    <row r="5" spans="1:13" x14ac:dyDescent="0.2">
      <c r="A5" s="33">
        <v>45526</v>
      </c>
      <c r="B5" s="34">
        <v>196.37</v>
      </c>
      <c r="C5" s="34">
        <v>228.69</v>
      </c>
      <c r="D5" s="34">
        <v>140.22</v>
      </c>
      <c r="E5" s="4">
        <f>(B5-B4)/B4</f>
        <v>-8.1412506996385585E-4</v>
      </c>
      <c r="F5" s="4">
        <f t="shared" ref="F5:F68" si="2">(C5-C4)/C4</f>
        <v>-2.7389103899970221E-2</v>
      </c>
      <c r="G5" s="4">
        <f t="shared" ref="G5:G68" si="3">(D5-D4)/D4</f>
        <v>1.6429744981783681E-3</v>
      </c>
      <c r="I5" s="38" t="s">
        <v>29</v>
      </c>
      <c r="J5" s="36">
        <f>CORREL(E4:E128,F4:F128)</f>
        <v>-0.10418569584477649</v>
      </c>
      <c r="K5" s="36"/>
      <c r="L5" s="36"/>
    </row>
    <row r="6" spans="1:13" x14ac:dyDescent="0.2">
      <c r="A6" s="33">
        <v>45527</v>
      </c>
      <c r="B6" s="34">
        <v>197.55</v>
      </c>
      <c r="C6" s="34">
        <v>233.97</v>
      </c>
      <c r="D6" s="34">
        <v>140.87</v>
      </c>
      <c r="E6" s="4">
        <f t="shared" ref="E6:E68" si="4">(B6-B5)/B5</f>
        <v>6.0090645210572223E-3</v>
      </c>
      <c r="F6" s="4">
        <f t="shared" si="2"/>
        <v>2.3088023088023095E-2</v>
      </c>
      <c r="G6" s="4">
        <f t="shared" si="3"/>
        <v>4.635572671516229E-3</v>
      </c>
      <c r="I6" s="38" t="s">
        <v>30</v>
      </c>
      <c r="J6" s="36">
        <f>CORREL(E4:E128,G4:G128)</f>
        <v>0.19107451407131429</v>
      </c>
      <c r="K6" s="36"/>
      <c r="L6" s="36"/>
    </row>
    <row r="7" spans="1:13" x14ac:dyDescent="0.2">
      <c r="A7" s="33">
        <v>45530</v>
      </c>
      <c r="B7" s="34">
        <v>197.44</v>
      </c>
      <c r="C7" s="34">
        <v>231.65</v>
      </c>
      <c r="D7" s="34">
        <v>140.49</v>
      </c>
      <c r="E7" s="4">
        <f t="shared" si="4"/>
        <v>-5.5682105796007911E-4</v>
      </c>
      <c r="F7" s="4">
        <f t="shared" si="2"/>
        <v>-9.915801171090281E-3</v>
      </c>
      <c r="G7" s="4">
        <f t="shared" si="3"/>
        <v>-2.6975225385106514E-3</v>
      </c>
      <c r="H7" s="5" t="s">
        <v>13</v>
      </c>
      <c r="I7" s="38" t="s">
        <v>31</v>
      </c>
      <c r="J7" s="32">
        <f>CORREL(F4:F128,G4:G128)</f>
        <v>0.32552198419955447</v>
      </c>
    </row>
    <row r="8" spans="1:13" ht="15" x14ac:dyDescent="0.25">
      <c r="A8" s="33">
        <v>45531</v>
      </c>
      <c r="B8" s="34">
        <v>195.92</v>
      </c>
      <c r="C8" s="34">
        <v>236.28</v>
      </c>
      <c r="D8" s="34">
        <v>141.1</v>
      </c>
      <c r="E8" s="4">
        <f t="shared" si="4"/>
        <v>-7.6985413290113968E-3</v>
      </c>
      <c r="F8" s="4">
        <f t="shared" si="2"/>
        <v>1.9987049428016383E-2</v>
      </c>
      <c r="G8" s="4">
        <f t="shared" si="3"/>
        <v>4.3419460459818149E-3</v>
      </c>
      <c r="I8" s="37"/>
      <c r="J8" s="32"/>
    </row>
    <row r="9" spans="1:13" ht="15.75" x14ac:dyDescent="0.25">
      <c r="A9" s="33">
        <v>45532</v>
      </c>
      <c r="B9" s="34">
        <v>195.4</v>
      </c>
      <c r="C9" s="34">
        <v>230.93</v>
      </c>
      <c r="D9" s="34">
        <v>141.06</v>
      </c>
      <c r="E9" s="4">
        <f t="shared" si="4"/>
        <v>-2.654144548795334E-3</v>
      </c>
      <c r="F9" s="4">
        <f t="shared" si="2"/>
        <v>-2.264262739123072E-2</v>
      </c>
      <c r="G9" s="4">
        <f t="shared" si="3"/>
        <v>-2.8348688873133977E-4</v>
      </c>
      <c r="I9" s="48" t="s">
        <v>5</v>
      </c>
      <c r="J9" s="48"/>
      <c r="K9" s="48"/>
      <c r="L9" s="48"/>
    </row>
    <row r="10" spans="1:13" x14ac:dyDescent="0.2">
      <c r="A10" s="33">
        <v>45533</v>
      </c>
      <c r="B10" s="34">
        <v>195.18</v>
      </c>
      <c r="C10" s="34">
        <v>235.15</v>
      </c>
      <c r="D10" s="34">
        <v>142.53</v>
      </c>
      <c r="E10" s="4">
        <f t="shared" si="4"/>
        <v>-1.1258955987717444E-3</v>
      </c>
      <c r="F10" s="4">
        <f t="shared" si="2"/>
        <v>1.8273935824708782E-2</v>
      </c>
      <c r="G10" s="4">
        <f t="shared" si="3"/>
        <v>1.0421097405359413E-2</v>
      </c>
      <c r="J10" s="39" t="s">
        <v>26</v>
      </c>
      <c r="K10" s="39" t="s">
        <v>27</v>
      </c>
      <c r="L10" s="39" t="s">
        <v>28</v>
      </c>
      <c r="M10" s="40" t="s">
        <v>14</v>
      </c>
    </row>
    <row r="11" spans="1:13" x14ac:dyDescent="0.2">
      <c r="A11" s="33">
        <v>45534</v>
      </c>
      <c r="B11" s="34">
        <v>196.31</v>
      </c>
      <c r="C11" s="34">
        <v>237.22</v>
      </c>
      <c r="D11" s="34">
        <v>142.91999999999999</v>
      </c>
      <c r="E11" s="4">
        <f t="shared" si="4"/>
        <v>5.7895276155343553E-3</v>
      </c>
      <c r="F11" s="4">
        <f t="shared" si="2"/>
        <v>8.8028917712098375E-3</v>
      </c>
      <c r="G11" s="4">
        <f t="shared" si="3"/>
        <v>2.7362660492526933E-3</v>
      </c>
      <c r="I11" s="39" t="s">
        <v>26</v>
      </c>
      <c r="J11" s="41">
        <f>_xlfn.COVARIANCE.P(E3:E128,E3:E128)</f>
        <v>3.0948808613281769E-4</v>
      </c>
      <c r="K11" s="42">
        <f>_xlfn.COVARIANCE.P(E3:E128,F3:F128)</f>
        <v>-4.0463501841873689E-5</v>
      </c>
      <c r="L11" s="42">
        <f>_xlfn.COVARIANCE.P(E3:E128,G3:G128)</f>
        <v>5.0029816391339654E-5</v>
      </c>
      <c r="M11" s="12">
        <v>0.2</v>
      </c>
    </row>
    <row r="12" spans="1:13" x14ac:dyDescent="0.2">
      <c r="A12" s="33">
        <v>45538</v>
      </c>
      <c r="B12" s="34">
        <v>197.69</v>
      </c>
      <c r="C12" s="34">
        <v>226.5</v>
      </c>
      <c r="D12" s="34">
        <v>138.96</v>
      </c>
      <c r="E12" s="4">
        <f t="shared" si="4"/>
        <v>7.0296979267484867E-3</v>
      </c>
      <c r="F12" s="4">
        <f t="shared" si="2"/>
        <v>-4.5190118876991821E-2</v>
      </c>
      <c r="G12" s="4">
        <f t="shared" si="3"/>
        <v>-2.7707808564231596E-2</v>
      </c>
      <c r="I12" s="39" t="s">
        <v>27</v>
      </c>
      <c r="J12" s="42">
        <f>_xlfn.COVARIANCE.P(F3:F128,E3:E128)</f>
        <v>-4.0463501841873689E-5</v>
      </c>
      <c r="K12" s="41">
        <f>_xlfn.COVARIANCE.P(F3:F128,F3:F128)</f>
        <v>4.873789880800954E-4</v>
      </c>
      <c r="L12" s="42">
        <f>_xlfn.COVARIANCE.P(F3:F128,G3:G128)</f>
        <v>1.0695914006362242E-4</v>
      </c>
      <c r="M12" s="12">
        <v>0.2</v>
      </c>
    </row>
    <row r="13" spans="1:13" x14ac:dyDescent="0.2">
      <c r="A13" s="33">
        <v>45539</v>
      </c>
      <c r="B13" s="34">
        <v>197.01</v>
      </c>
      <c r="C13" s="34">
        <v>222.34</v>
      </c>
      <c r="D13" s="34">
        <v>138.16</v>
      </c>
      <c r="E13" s="4">
        <f t="shared" si="4"/>
        <v>-3.4397288684304052E-3</v>
      </c>
      <c r="F13" s="4">
        <f t="shared" si="2"/>
        <v>-1.8366445916114776E-2</v>
      </c>
      <c r="G13" s="4">
        <f t="shared" si="3"/>
        <v>-5.7570523891768231E-3</v>
      </c>
      <c r="I13" s="39" t="s">
        <v>28</v>
      </c>
      <c r="J13" s="42">
        <f>_xlfn.COVARIANCE.P(G3:G128,E3:E128)</f>
        <v>5.0029816391339654E-5</v>
      </c>
      <c r="K13" s="42">
        <f>_xlfn.COVARIANCE.P(G3:G128,F3:F128)</f>
        <v>1.0695914006362242E-4</v>
      </c>
      <c r="L13" s="41">
        <f>_xlfn.COVARIANCE.P(G3:G128,G3:G128)</f>
        <v>2.2151766002760824E-4</v>
      </c>
      <c r="M13" s="12">
        <v>0.6</v>
      </c>
    </row>
    <row r="14" spans="1:13" x14ac:dyDescent="0.2">
      <c r="A14" s="33">
        <v>45540</v>
      </c>
      <c r="B14" s="34">
        <v>192.86</v>
      </c>
      <c r="C14" s="34">
        <v>226.52</v>
      </c>
      <c r="D14" s="34">
        <v>138.36000000000001</v>
      </c>
      <c r="E14" s="4">
        <f t="shared" si="4"/>
        <v>-2.1064920562407885E-2</v>
      </c>
      <c r="F14" s="4">
        <f t="shared" si="2"/>
        <v>1.8800035980930139E-2</v>
      </c>
      <c r="G14" s="4">
        <f t="shared" si="3"/>
        <v>1.4475969889983864E-3</v>
      </c>
      <c r="J14" s="42"/>
      <c r="K14" s="42"/>
      <c r="L14" s="41"/>
      <c r="M14" s="7"/>
    </row>
    <row r="15" spans="1:13" ht="15" x14ac:dyDescent="0.25">
      <c r="A15" s="33">
        <v>45541</v>
      </c>
      <c r="B15" s="34">
        <v>193.4</v>
      </c>
      <c r="C15" s="34">
        <v>221.15</v>
      </c>
      <c r="D15" s="34">
        <v>137.19999999999999</v>
      </c>
      <c r="E15" s="4">
        <f t="shared" si="4"/>
        <v>2.7999585191330082E-3</v>
      </c>
      <c r="F15" s="4">
        <f t="shared" si="2"/>
        <v>-2.3706515980928856E-2</v>
      </c>
      <c r="G15" s="4">
        <f t="shared" si="3"/>
        <v>-8.3839259901707496E-3</v>
      </c>
      <c r="I15" s="43" t="s">
        <v>7</v>
      </c>
      <c r="J15" s="36">
        <f>AVERAGE(E3:E128)</f>
        <v>3.5013189707545521E-4</v>
      </c>
      <c r="K15" s="36">
        <f>AVERAGE(F3:F128)</f>
        <v>-1.0635729293636917E-3</v>
      </c>
      <c r="L15" s="36">
        <f>AVERAGE(G3:G128)</f>
        <v>-6.1098648248466601E-5</v>
      </c>
      <c r="M15" s="7"/>
    </row>
    <row r="16" spans="1:13" x14ac:dyDescent="0.2">
      <c r="A16" s="33">
        <v>45544</v>
      </c>
      <c r="B16" s="34">
        <v>196.42</v>
      </c>
      <c r="C16" s="34">
        <v>221.38</v>
      </c>
      <c r="D16" s="34">
        <v>138.09</v>
      </c>
      <c r="E16" s="4">
        <f t="shared" si="4"/>
        <v>1.5615305067218106E-2</v>
      </c>
      <c r="F16" s="4">
        <f t="shared" si="2"/>
        <v>1.0400180872710367E-3</v>
      </c>
      <c r="G16" s="4">
        <f t="shared" si="3"/>
        <v>6.4868804664724115E-3</v>
      </c>
      <c r="J16" s="42"/>
      <c r="K16" s="42"/>
      <c r="L16" s="41"/>
    </row>
    <row r="17" spans="1:15" ht="15" x14ac:dyDescent="0.25">
      <c r="A17" s="33">
        <v>45545</v>
      </c>
      <c r="B17" s="34">
        <v>199.35</v>
      </c>
      <c r="C17" s="34">
        <v>227.15</v>
      </c>
      <c r="D17" s="34">
        <v>138.03</v>
      </c>
      <c r="E17" s="4">
        <f t="shared" si="4"/>
        <v>1.4917014560635409E-2</v>
      </c>
      <c r="F17" s="4">
        <f t="shared" si="2"/>
        <v>2.6063781732767233E-2</v>
      </c>
      <c r="G17" s="4">
        <f t="shared" si="3"/>
        <v>-4.3449923962634711E-4</v>
      </c>
      <c r="J17" s="43" t="s">
        <v>6</v>
      </c>
      <c r="K17" s="43"/>
      <c r="L17" s="43"/>
      <c r="M17" s="43"/>
      <c r="N17" s="44"/>
      <c r="O17" s="44"/>
    </row>
    <row r="18" spans="1:15" x14ac:dyDescent="0.2">
      <c r="A18" s="33">
        <v>45546</v>
      </c>
      <c r="B18" s="34">
        <v>194.59</v>
      </c>
      <c r="C18" s="34">
        <v>225.15</v>
      </c>
      <c r="D18" s="34">
        <v>138.69999999999999</v>
      </c>
      <c r="E18" s="4">
        <f t="shared" si="4"/>
        <v>-2.3877602207173269E-2</v>
      </c>
      <c r="F18" s="4">
        <f t="shared" si="2"/>
        <v>-8.8047545674664312E-3</v>
      </c>
      <c r="G18" s="4">
        <f t="shared" si="3"/>
        <v>4.8540172426283232E-3</v>
      </c>
      <c r="I18" s="45" t="s">
        <v>26</v>
      </c>
      <c r="J18" s="12">
        <v>0.35490793093770434</v>
      </c>
      <c r="K18" s="15"/>
      <c r="L18" s="15"/>
      <c r="M18" s="15"/>
      <c r="N18" s="22"/>
      <c r="O18" s="9"/>
    </row>
    <row r="19" spans="1:15" x14ac:dyDescent="0.2">
      <c r="A19" s="33">
        <v>45547</v>
      </c>
      <c r="B19" s="34">
        <v>194.02</v>
      </c>
      <c r="C19" s="34">
        <v>228.86</v>
      </c>
      <c r="D19" s="34">
        <v>136.38999999999999</v>
      </c>
      <c r="E19" s="4">
        <f t="shared" si="4"/>
        <v>-2.9292358291792648E-3</v>
      </c>
      <c r="F19" s="4">
        <f t="shared" si="2"/>
        <v>1.647790361980905E-2</v>
      </c>
      <c r="G19" s="4">
        <f t="shared" si="3"/>
        <v>-1.6654650324441259E-2</v>
      </c>
      <c r="I19" s="45" t="s">
        <v>27</v>
      </c>
      <c r="J19" s="12">
        <v>0.25201670692881867</v>
      </c>
    </row>
    <row r="20" spans="1:15" x14ac:dyDescent="0.2">
      <c r="A20" s="33">
        <v>45548</v>
      </c>
      <c r="B20" s="34">
        <v>194.21</v>
      </c>
      <c r="C20" s="34">
        <v>243.73</v>
      </c>
      <c r="D20" s="34">
        <v>137.31</v>
      </c>
      <c r="E20" s="4">
        <f t="shared" si="4"/>
        <v>9.7928048654776683E-4</v>
      </c>
      <c r="F20" s="4">
        <f t="shared" si="2"/>
        <v>6.497422004719032E-2</v>
      </c>
      <c r="G20" s="4">
        <f t="shared" si="3"/>
        <v>6.7453625632378916E-3</v>
      </c>
      <c r="I20" s="45" t="s">
        <v>28</v>
      </c>
      <c r="J20" s="12">
        <v>0.39307536727250575</v>
      </c>
    </row>
    <row r="21" spans="1:15" x14ac:dyDescent="0.2">
      <c r="A21" s="33">
        <v>45551</v>
      </c>
      <c r="B21" s="34">
        <v>195.73</v>
      </c>
      <c r="C21" s="34">
        <v>249.56</v>
      </c>
      <c r="D21" s="34">
        <v>138.31</v>
      </c>
      <c r="E21" s="4">
        <f t="shared" si="4"/>
        <v>7.8265794758250445E-3</v>
      </c>
      <c r="F21" s="4">
        <f t="shared" si="2"/>
        <v>2.3919911377343835E-2</v>
      </c>
      <c r="G21" s="4">
        <f t="shared" si="3"/>
        <v>7.2827907654213096E-3</v>
      </c>
      <c r="I21" s="45" t="s">
        <v>9</v>
      </c>
      <c r="J21" s="12">
        <f>SUM(J18:J20)</f>
        <v>1.0000000051390288</v>
      </c>
    </row>
    <row r="22" spans="1:15" x14ac:dyDescent="0.2">
      <c r="A22" s="33">
        <v>45552</v>
      </c>
      <c r="B22" s="34">
        <v>193.45</v>
      </c>
      <c r="C22" s="34">
        <v>253.16</v>
      </c>
      <c r="D22" s="34">
        <v>138.35</v>
      </c>
      <c r="E22" s="4">
        <f t="shared" si="4"/>
        <v>-1.1648699739436986E-2</v>
      </c>
      <c r="F22" s="4">
        <f t="shared" si="2"/>
        <v>1.4425388684083966E-2</v>
      </c>
      <c r="G22" s="4">
        <f t="shared" si="3"/>
        <v>2.8920540814107471E-4</v>
      </c>
      <c r="I22" s="46" t="s">
        <v>12</v>
      </c>
      <c r="J22" s="21">
        <f>SQRT(J18^2*J2^2+J19^2*K2^2+J20^2*L2^2+2*J18*J19*J5*J2*K2+2*J19*J20*J6*K2*L2+2*J18*J20*J7*J2*L2)</f>
        <v>1.1585290245260527E-2</v>
      </c>
    </row>
    <row r="23" spans="1:15" x14ac:dyDescent="0.2">
      <c r="A23" s="33">
        <v>45553</v>
      </c>
      <c r="B23" s="34">
        <v>192.94</v>
      </c>
      <c r="C23" s="34">
        <v>253.01</v>
      </c>
      <c r="D23" s="34">
        <v>139.01</v>
      </c>
      <c r="E23" s="4">
        <f t="shared" si="4"/>
        <v>-2.6363401395709017E-3</v>
      </c>
      <c r="F23" s="4">
        <f t="shared" si="2"/>
        <v>-5.9251066519199586E-4</v>
      </c>
      <c r="G23" s="4">
        <f t="shared" si="3"/>
        <v>4.7705095771593542E-3</v>
      </c>
      <c r="I23" s="46" t="s">
        <v>8</v>
      </c>
      <c r="J23" s="21">
        <f>J18*J15+J19*K15+J20*L15</f>
        <v>-1.6778993369065125E-4</v>
      </c>
    </row>
    <row r="24" spans="1:15" x14ac:dyDescent="0.2">
      <c r="A24" s="33">
        <v>45554</v>
      </c>
      <c r="B24" s="34">
        <v>193.62</v>
      </c>
      <c r="C24" s="34">
        <v>257.17</v>
      </c>
      <c r="D24" s="34">
        <v>141.94999999999999</v>
      </c>
      <c r="E24" s="4">
        <f t="shared" si="4"/>
        <v>3.5244117342179268E-3</v>
      </c>
      <c r="F24" s="4">
        <f t="shared" si="2"/>
        <v>1.6442037864116143E-2</v>
      </c>
      <c r="G24" s="4">
        <f t="shared" si="3"/>
        <v>2.114955758578518E-2</v>
      </c>
    </row>
    <row r="25" spans="1:15" x14ac:dyDescent="0.2">
      <c r="A25" s="33">
        <v>45555</v>
      </c>
      <c r="B25" s="34">
        <v>193.47</v>
      </c>
      <c r="C25" s="34">
        <v>252.85</v>
      </c>
      <c r="D25" s="34">
        <v>140.09</v>
      </c>
      <c r="E25" s="4">
        <f t="shared" si="4"/>
        <v>-7.7471335605828779E-4</v>
      </c>
      <c r="F25" s="4">
        <f t="shared" si="2"/>
        <v>-1.6798226853832178E-2</v>
      </c>
      <c r="G25" s="4">
        <f t="shared" si="3"/>
        <v>-1.3103205353997784E-2</v>
      </c>
    </row>
    <row r="26" spans="1:15" x14ac:dyDescent="0.2">
      <c r="A26" s="33">
        <v>45558</v>
      </c>
      <c r="B26" s="34">
        <v>193.83</v>
      </c>
      <c r="C26" s="34">
        <v>253.16</v>
      </c>
      <c r="D26" s="34">
        <v>139.79</v>
      </c>
      <c r="E26" s="4">
        <f t="shared" si="4"/>
        <v>1.8607536052101805E-3</v>
      </c>
      <c r="F26" s="4">
        <f t="shared" si="2"/>
        <v>1.2260233339924946E-3</v>
      </c>
      <c r="G26" s="4">
        <f t="shared" si="3"/>
        <v>-2.1414804768364005E-3</v>
      </c>
    </row>
    <row r="27" spans="1:15" x14ac:dyDescent="0.2">
      <c r="A27" s="33">
        <v>45559</v>
      </c>
      <c r="B27" s="34">
        <v>193.51</v>
      </c>
      <c r="C27" s="34">
        <v>249.01</v>
      </c>
      <c r="D27" s="34">
        <v>141.87</v>
      </c>
      <c r="E27" s="4">
        <f t="shared" si="4"/>
        <v>-1.6509312283961284E-3</v>
      </c>
      <c r="F27" s="4">
        <f t="shared" si="2"/>
        <v>-1.639279507031129E-2</v>
      </c>
      <c r="G27" s="4">
        <f t="shared" si="3"/>
        <v>1.4879462050218275E-2</v>
      </c>
    </row>
    <row r="28" spans="1:15" x14ac:dyDescent="0.2">
      <c r="A28" s="33">
        <v>45560</v>
      </c>
      <c r="B28" s="34">
        <v>191.26</v>
      </c>
      <c r="C28" s="34">
        <v>242.45</v>
      </c>
      <c r="D28" s="34">
        <v>139.44</v>
      </c>
      <c r="E28" s="4">
        <f t="shared" si="4"/>
        <v>-1.1627306082373005E-2</v>
      </c>
      <c r="F28" s="4">
        <f t="shared" si="2"/>
        <v>-2.6344323521143739E-2</v>
      </c>
      <c r="G28" s="4">
        <f t="shared" si="3"/>
        <v>-1.7128356946500365E-2</v>
      </c>
    </row>
    <row r="29" spans="1:15" x14ac:dyDescent="0.2">
      <c r="A29" s="33">
        <v>45561</v>
      </c>
      <c r="B29" s="34">
        <v>191.9</v>
      </c>
      <c r="C29" s="34">
        <v>249.46</v>
      </c>
      <c r="D29" s="34">
        <v>146.74</v>
      </c>
      <c r="E29" s="4">
        <f t="shared" si="4"/>
        <v>3.3462302624700136E-3</v>
      </c>
      <c r="F29" s="4">
        <f t="shared" si="2"/>
        <v>2.8913177974840255E-2</v>
      </c>
      <c r="G29" s="4">
        <f t="shared" si="3"/>
        <v>5.2352266207687979E-2</v>
      </c>
    </row>
    <row r="30" spans="1:15" x14ac:dyDescent="0.2">
      <c r="A30" s="33">
        <v>45562</v>
      </c>
      <c r="B30" s="34">
        <v>194.79</v>
      </c>
      <c r="C30" s="34">
        <v>254.81</v>
      </c>
      <c r="D30" s="34">
        <v>148.06</v>
      </c>
      <c r="E30" s="4">
        <f t="shared" si="4"/>
        <v>1.5059927045336041E-2</v>
      </c>
      <c r="F30" s="4">
        <f t="shared" si="2"/>
        <v>2.1446324059969511E-2</v>
      </c>
      <c r="G30" s="4">
        <f t="shared" si="3"/>
        <v>8.9955022488755147E-3</v>
      </c>
    </row>
    <row r="31" spans="1:15" x14ac:dyDescent="0.2">
      <c r="A31" s="33">
        <v>45565</v>
      </c>
      <c r="B31" s="34">
        <v>197.48</v>
      </c>
      <c r="C31" s="34">
        <v>254.32</v>
      </c>
      <c r="D31" s="34">
        <v>148.47999999999999</v>
      </c>
      <c r="E31" s="4">
        <f t="shared" si="4"/>
        <v>1.3809743826685136E-2</v>
      </c>
      <c r="F31" s="4">
        <f t="shared" si="2"/>
        <v>-1.9230014520623567E-3</v>
      </c>
      <c r="G31" s="4">
        <f t="shared" si="3"/>
        <v>2.8366878292583244E-3</v>
      </c>
    </row>
    <row r="32" spans="1:15" x14ac:dyDescent="0.2">
      <c r="A32" s="33">
        <v>45566</v>
      </c>
      <c r="B32" s="34">
        <v>196.96</v>
      </c>
      <c r="C32" s="34">
        <v>245.35</v>
      </c>
      <c r="D32" s="34">
        <v>146.56</v>
      </c>
      <c r="E32" s="4">
        <f t="shared" si="4"/>
        <v>-2.6331780433460697E-3</v>
      </c>
      <c r="F32" s="4">
        <f t="shared" si="2"/>
        <v>-3.5270525322428435E-2</v>
      </c>
      <c r="G32" s="4">
        <f t="shared" si="3"/>
        <v>-1.2931034482758537E-2</v>
      </c>
    </row>
    <row r="33" spans="1:7" x14ac:dyDescent="0.2">
      <c r="A33" s="33">
        <v>45567</v>
      </c>
      <c r="B33" s="34">
        <v>196.82</v>
      </c>
      <c r="C33" s="34">
        <v>238.06</v>
      </c>
      <c r="D33" s="34">
        <v>146.54</v>
      </c>
      <c r="E33" s="4">
        <f t="shared" si="4"/>
        <v>-7.1080422420803603E-4</v>
      </c>
      <c r="F33" s="4">
        <f t="shared" si="2"/>
        <v>-2.9712655390258781E-2</v>
      </c>
      <c r="G33" s="4">
        <f t="shared" si="3"/>
        <v>-1.3646288209613968E-4</v>
      </c>
    </row>
    <row r="34" spans="1:7" x14ac:dyDescent="0.2">
      <c r="A34" s="33">
        <v>45568</v>
      </c>
      <c r="B34" s="34">
        <v>195.45</v>
      </c>
      <c r="C34" s="34">
        <v>236.97</v>
      </c>
      <c r="D34" s="34">
        <v>144.55000000000001</v>
      </c>
      <c r="E34" s="4">
        <f t="shared" si="4"/>
        <v>-6.9606747281780543E-3</v>
      </c>
      <c r="F34" s="4">
        <f t="shared" si="2"/>
        <v>-4.5786776442913691E-3</v>
      </c>
      <c r="G34" s="4">
        <f t="shared" si="3"/>
        <v>-1.357990992220541E-2</v>
      </c>
    </row>
    <row r="35" spans="1:7" x14ac:dyDescent="0.2">
      <c r="A35" s="33">
        <v>45569</v>
      </c>
      <c r="B35" s="34">
        <v>194.29</v>
      </c>
      <c r="C35" s="34">
        <v>241.35</v>
      </c>
      <c r="D35" s="34">
        <v>144.97</v>
      </c>
      <c r="E35" s="4">
        <f t="shared" si="4"/>
        <v>-5.9350217446917201E-3</v>
      </c>
      <c r="F35" s="4">
        <f t="shared" si="2"/>
        <v>1.8483352323078853E-2</v>
      </c>
      <c r="G35" s="4">
        <f t="shared" si="3"/>
        <v>2.9055690072638356E-3</v>
      </c>
    </row>
    <row r="36" spans="1:7" x14ac:dyDescent="0.2">
      <c r="A36" s="33">
        <v>45572</v>
      </c>
      <c r="B36" s="34">
        <v>193.61</v>
      </c>
      <c r="C36" s="34">
        <v>234.85</v>
      </c>
      <c r="D36" s="34">
        <v>143.88999999999999</v>
      </c>
      <c r="E36" s="4">
        <f t="shared" si="4"/>
        <v>-3.4999227958205695E-3</v>
      </c>
      <c r="F36" s="4">
        <f t="shared" si="2"/>
        <v>-2.693184172363787E-2</v>
      </c>
      <c r="G36" s="4">
        <f t="shared" si="3"/>
        <v>-7.4498172035594437E-3</v>
      </c>
    </row>
    <row r="37" spans="1:7" x14ac:dyDescent="0.2">
      <c r="A37" s="33">
        <v>45573</v>
      </c>
      <c r="B37" s="34">
        <v>193.01</v>
      </c>
      <c r="C37" s="34">
        <v>234.06</v>
      </c>
      <c r="D37" s="34">
        <v>144.61000000000001</v>
      </c>
      <c r="E37" s="4">
        <f t="shared" si="4"/>
        <v>-3.0990134807087582E-3</v>
      </c>
      <c r="F37" s="4">
        <f t="shared" si="2"/>
        <v>-3.3638492654885759E-3</v>
      </c>
      <c r="G37" s="4">
        <f t="shared" si="3"/>
        <v>5.0038223643062568E-3</v>
      </c>
    </row>
    <row r="38" spans="1:7" x14ac:dyDescent="0.2">
      <c r="A38" s="33">
        <v>45574</v>
      </c>
      <c r="B38" s="34">
        <v>194.75</v>
      </c>
      <c r="C38" s="34">
        <v>233.79</v>
      </c>
      <c r="D38" s="34">
        <v>144.80000000000001</v>
      </c>
      <c r="E38" s="4">
        <f t="shared" si="4"/>
        <v>9.015076939018752E-3</v>
      </c>
      <c r="F38" s="4">
        <f t="shared" si="2"/>
        <v>-1.1535503716996079E-3</v>
      </c>
      <c r="G38" s="4">
        <f t="shared" si="3"/>
        <v>1.3138787082497595E-3</v>
      </c>
    </row>
    <row r="39" spans="1:7" x14ac:dyDescent="0.2">
      <c r="A39" s="33">
        <v>45575</v>
      </c>
      <c r="B39" s="34">
        <v>194.35</v>
      </c>
      <c r="C39" s="34">
        <v>229.65</v>
      </c>
      <c r="D39" s="34">
        <v>142.74</v>
      </c>
      <c r="E39" s="4">
        <f t="shared" si="4"/>
        <v>-2.0539152759948944E-3</v>
      </c>
      <c r="F39" s="4">
        <f t="shared" si="2"/>
        <v>-1.7708199666367195E-2</v>
      </c>
      <c r="G39" s="4">
        <f t="shared" si="3"/>
        <v>-1.422651933701659E-2</v>
      </c>
    </row>
    <row r="40" spans="1:7" x14ac:dyDescent="0.2">
      <c r="A40" s="33">
        <v>45576</v>
      </c>
      <c r="B40" s="34">
        <v>194.19</v>
      </c>
      <c r="C40" s="34">
        <v>222.04</v>
      </c>
      <c r="D40" s="34">
        <v>143.82</v>
      </c>
      <c r="E40" s="4">
        <f t="shared" si="4"/>
        <v>-8.2325701054796288E-4</v>
      </c>
      <c r="F40" s="4">
        <f t="shared" si="2"/>
        <v>-3.3137382974091065E-2</v>
      </c>
      <c r="G40" s="4">
        <f t="shared" si="3"/>
        <v>7.566204287515651E-3</v>
      </c>
    </row>
    <row r="41" spans="1:7" x14ac:dyDescent="0.2">
      <c r="A41" s="33">
        <v>45579</v>
      </c>
      <c r="B41" s="34">
        <v>195.65</v>
      </c>
      <c r="C41" s="34">
        <v>221.27</v>
      </c>
      <c r="D41" s="34">
        <v>144.25</v>
      </c>
      <c r="E41" s="4">
        <f t="shared" si="4"/>
        <v>7.5184098048303623E-3</v>
      </c>
      <c r="F41" s="4">
        <f t="shared" si="2"/>
        <v>-3.4678436317779763E-3</v>
      </c>
      <c r="G41" s="4">
        <f t="shared" si="3"/>
        <v>2.9898484216382064E-3</v>
      </c>
    </row>
    <row r="42" spans="1:7" x14ac:dyDescent="0.2">
      <c r="A42" s="33">
        <v>45580</v>
      </c>
      <c r="B42" s="34">
        <v>191.86</v>
      </c>
      <c r="C42" s="34">
        <v>219.15</v>
      </c>
      <c r="D42" s="34">
        <v>144.58000000000001</v>
      </c>
      <c r="E42" s="4">
        <f t="shared" si="4"/>
        <v>-1.9371326348070494E-2</v>
      </c>
      <c r="F42" s="4">
        <f t="shared" si="2"/>
        <v>-9.5810548199033053E-3</v>
      </c>
      <c r="G42" s="4">
        <f t="shared" si="3"/>
        <v>2.287694974003553E-3</v>
      </c>
    </row>
    <row r="43" spans="1:7" x14ac:dyDescent="0.2">
      <c r="A43" s="33">
        <v>45581</v>
      </c>
      <c r="B43" s="34">
        <v>190.46</v>
      </c>
      <c r="C43" s="34">
        <v>216.05</v>
      </c>
      <c r="D43" s="34">
        <v>139.11000000000001</v>
      </c>
      <c r="E43" s="4">
        <f t="shared" si="4"/>
        <v>-7.2969873866361177E-3</v>
      </c>
      <c r="F43" s="4">
        <f t="shared" si="2"/>
        <v>-1.4145562400182497E-2</v>
      </c>
      <c r="G43" s="4">
        <f t="shared" si="3"/>
        <v>-3.7833725273205138E-2</v>
      </c>
    </row>
    <row r="44" spans="1:7" x14ac:dyDescent="0.2">
      <c r="A44" s="33">
        <v>45582</v>
      </c>
      <c r="B44" s="34">
        <v>188.57</v>
      </c>
      <c r="C44" s="34">
        <v>216.02</v>
      </c>
      <c r="D44" s="34">
        <v>137.41999999999999</v>
      </c>
      <c r="E44" s="4">
        <f t="shared" si="4"/>
        <v>-9.9233434841962346E-3</v>
      </c>
      <c r="F44" s="4">
        <f t="shared" si="2"/>
        <v>-1.3885674612358775E-4</v>
      </c>
      <c r="G44" s="4">
        <f t="shared" si="3"/>
        <v>-1.2148659334339918E-2</v>
      </c>
    </row>
    <row r="45" spans="1:7" x14ac:dyDescent="0.2">
      <c r="A45" s="33">
        <v>45583</v>
      </c>
      <c r="B45" s="34">
        <v>188.86</v>
      </c>
      <c r="C45" s="34">
        <v>219.7</v>
      </c>
      <c r="D45" s="34">
        <v>138.83000000000001</v>
      </c>
      <c r="E45" s="4">
        <f t="shared" si="4"/>
        <v>1.5378904385640372E-3</v>
      </c>
      <c r="F45" s="4">
        <f t="shared" si="2"/>
        <v>1.7035459679659189E-2</v>
      </c>
      <c r="G45" s="4">
        <f t="shared" si="3"/>
        <v>1.0260515208848967E-2</v>
      </c>
    </row>
    <row r="46" spans="1:7" x14ac:dyDescent="0.2">
      <c r="A46" s="33">
        <v>45586</v>
      </c>
      <c r="B46" s="34">
        <v>186.54</v>
      </c>
      <c r="C46" s="34">
        <v>216.56</v>
      </c>
      <c r="D46" s="34">
        <v>136.76</v>
      </c>
      <c r="E46" s="4">
        <f t="shared" si="4"/>
        <v>-1.2284231706025741E-2</v>
      </c>
      <c r="F46" s="4">
        <f t="shared" si="2"/>
        <v>-1.4292216659080504E-2</v>
      </c>
      <c r="G46" s="4">
        <f t="shared" si="3"/>
        <v>-1.4910321976518199E-2</v>
      </c>
    </row>
    <row r="47" spans="1:7" x14ac:dyDescent="0.2">
      <c r="A47" s="33">
        <v>45587</v>
      </c>
      <c r="B47" s="34">
        <v>188.76</v>
      </c>
      <c r="C47" s="34">
        <v>210.81</v>
      </c>
      <c r="D47" s="34">
        <v>133.46</v>
      </c>
      <c r="E47" s="4">
        <f t="shared" si="4"/>
        <v>1.1900932775812152E-2</v>
      </c>
      <c r="F47" s="4">
        <f t="shared" si="2"/>
        <v>-2.6551533062430736E-2</v>
      </c>
      <c r="G47" s="4">
        <f t="shared" si="3"/>
        <v>-2.4129862532904237E-2</v>
      </c>
    </row>
    <row r="48" spans="1:7" x14ac:dyDescent="0.2">
      <c r="A48" s="33">
        <v>45588</v>
      </c>
      <c r="B48" s="34">
        <v>187.88</v>
      </c>
      <c r="C48" s="34">
        <v>207.66</v>
      </c>
      <c r="D48" s="34">
        <v>133.03</v>
      </c>
      <c r="E48" s="4">
        <f t="shared" si="4"/>
        <v>-4.6620046620046377E-3</v>
      </c>
      <c r="F48" s="4">
        <f t="shared" si="2"/>
        <v>-1.4942365162942962E-2</v>
      </c>
      <c r="G48" s="4">
        <f t="shared" si="3"/>
        <v>-3.2219391578001406E-3</v>
      </c>
    </row>
    <row r="49" spans="1:7" x14ac:dyDescent="0.2">
      <c r="A49" s="33">
        <v>45589</v>
      </c>
      <c r="B49" s="34">
        <v>189.65</v>
      </c>
      <c r="C49" s="34">
        <v>216.42</v>
      </c>
      <c r="D49" s="34">
        <v>130.69</v>
      </c>
      <c r="E49" s="4">
        <f t="shared" si="4"/>
        <v>9.4209069618906224E-3</v>
      </c>
      <c r="F49" s="4">
        <f t="shared" si="2"/>
        <v>4.2184339786188921E-2</v>
      </c>
      <c r="G49" s="4">
        <f t="shared" si="3"/>
        <v>-1.7590017289333258E-2</v>
      </c>
    </row>
    <row r="50" spans="1:7" x14ac:dyDescent="0.2">
      <c r="A50" s="33">
        <v>45590</v>
      </c>
      <c r="B50" s="34">
        <v>187.85</v>
      </c>
      <c r="C50" s="34">
        <v>219.3</v>
      </c>
      <c r="D50" s="34">
        <v>130.19</v>
      </c>
      <c r="E50" s="4">
        <f t="shared" si="4"/>
        <v>-9.4911679409439044E-3</v>
      </c>
      <c r="F50" s="4">
        <f t="shared" si="2"/>
        <v>1.3307457721097976E-2</v>
      </c>
      <c r="G50" s="4">
        <f t="shared" si="3"/>
        <v>-3.8258474252046829E-3</v>
      </c>
    </row>
    <row r="51" spans="1:7" x14ac:dyDescent="0.2">
      <c r="A51" s="33">
        <v>45593</v>
      </c>
      <c r="B51" s="34">
        <v>189.68</v>
      </c>
      <c r="C51" s="34">
        <v>215.8</v>
      </c>
      <c r="D51" s="34">
        <v>131.54</v>
      </c>
      <c r="E51" s="4">
        <f t="shared" si="4"/>
        <v>9.741815278147525E-3</v>
      </c>
      <c r="F51" s="4">
        <f t="shared" si="2"/>
        <v>-1.5959872321021432E-2</v>
      </c>
      <c r="G51" s="4">
        <f t="shared" si="3"/>
        <v>1.0369460019970769E-2</v>
      </c>
    </row>
    <row r="52" spans="1:7" x14ac:dyDescent="0.2">
      <c r="A52" s="33">
        <v>45594</v>
      </c>
      <c r="B52" s="34">
        <v>189.45</v>
      </c>
      <c r="C52" s="34">
        <v>212.78</v>
      </c>
      <c r="D52" s="34">
        <v>131.22999999999999</v>
      </c>
      <c r="E52" s="4">
        <f t="shared" si="4"/>
        <v>-1.2125685364825927E-3</v>
      </c>
      <c r="F52" s="4">
        <f t="shared" si="2"/>
        <v>-1.3994439295644161E-2</v>
      </c>
      <c r="G52" s="4">
        <f t="shared" si="3"/>
        <v>-2.3566975824844327E-3</v>
      </c>
    </row>
    <row r="53" spans="1:7" x14ac:dyDescent="0.2">
      <c r="A53" s="33">
        <v>45595</v>
      </c>
      <c r="B53" s="34">
        <v>201.5</v>
      </c>
      <c r="C53" s="34">
        <v>210.86</v>
      </c>
      <c r="D53" s="34">
        <v>131.49</v>
      </c>
      <c r="E53" s="4">
        <f t="shared" si="4"/>
        <v>6.3605172868830884E-2</v>
      </c>
      <c r="F53" s="4">
        <f t="shared" si="2"/>
        <v>-9.0234044553058907E-3</v>
      </c>
      <c r="G53" s="4">
        <f t="shared" si="3"/>
        <v>1.9812542863675937E-3</v>
      </c>
    </row>
    <row r="54" spans="1:7" x14ac:dyDescent="0.2">
      <c r="A54" s="33">
        <v>45596</v>
      </c>
      <c r="B54" s="34">
        <v>203.87</v>
      </c>
      <c r="C54" s="34">
        <v>205.03</v>
      </c>
      <c r="D54" s="34">
        <v>130.31</v>
      </c>
      <c r="E54" s="4">
        <f t="shared" si="4"/>
        <v>1.17617866004963E-2</v>
      </c>
      <c r="F54" s="4">
        <f t="shared" si="2"/>
        <v>-2.764867684719725E-2</v>
      </c>
      <c r="G54" s="4">
        <f t="shared" si="3"/>
        <v>-8.9740664689330497E-3</v>
      </c>
    </row>
    <row r="55" spans="1:7" x14ac:dyDescent="0.2">
      <c r="A55" s="33">
        <v>45597</v>
      </c>
      <c r="B55" s="34">
        <v>203.55</v>
      </c>
      <c r="C55" s="34">
        <v>208.58</v>
      </c>
      <c r="D55" s="34">
        <v>136.87</v>
      </c>
      <c r="E55" s="4">
        <f t="shared" si="4"/>
        <v>-1.5696277039289408E-3</v>
      </c>
      <c r="F55" s="4">
        <f t="shared" si="2"/>
        <v>1.7314539335707025E-2</v>
      </c>
      <c r="G55" s="4">
        <f t="shared" si="3"/>
        <v>5.0341493361982979E-2</v>
      </c>
    </row>
    <row r="56" spans="1:7" x14ac:dyDescent="0.2">
      <c r="A56" s="33">
        <v>45600</v>
      </c>
      <c r="B56" s="34">
        <v>200.47</v>
      </c>
      <c r="C56" s="34">
        <v>210.78</v>
      </c>
      <c r="D56" s="34">
        <v>139.65</v>
      </c>
      <c r="E56" s="4">
        <f t="shared" si="4"/>
        <v>-1.5131417342176431E-2</v>
      </c>
      <c r="F56" s="4">
        <f t="shared" si="2"/>
        <v>1.054751174609257E-2</v>
      </c>
      <c r="G56" s="4">
        <f t="shared" si="3"/>
        <v>2.031124424636517E-2</v>
      </c>
    </row>
    <row r="57" spans="1:7" x14ac:dyDescent="0.2">
      <c r="A57" s="33">
        <v>45601</v>
      </c>
      <c r="B57" s="34">
        <v>201.68</v>
      </c>
      <c r="C57" s="34">
        <v>212.15</v>
      </c>
      <c r="D57" s="34">
        <v>140.41</v>
      </c>
      <c r="E57" s="4">
        <f t="shared" si="4"/>
        <v>6.035815832792976E-3</v>
      </c>
      <c r="F57" s="4">
        <f t="shared" si="2"/>
        <v>6.4996679001803042E-3</v>
      </c>
      <c r="G57" s="4">
        <f t="shared" si="3"/>
        <v>5.4421768707482339E-3</v>
      </c>
    </row>
    <row r="58" spans="1:7" x14ac:dyDescent="0.2">
      <c r="A58" s="33">
        <v>45602</v>
      </c>
      <c r="B58" s="34">
        <v>201.2</v>
      </c>
      <c r="C58" s="34">
        <v>224.85</v>
      </c>
      <c r="D58" s="34">
        <v>137.78</v>
      </c>
      <c r="E58" s="4">
        <f t="shared" si="4"/>
        <v>-2.3800079333598681E-3</v>
      </c>
      <c r="F58" s="4">
        <f t="shared" si="2"/>
        <v>5.9863304265849578E-2</v>
      </c>
      <c r="G58" s="4">
        <f t="shared" si="3"/>
        <v>-1.8730859625382776E-2</v>
      </c>
    </row>
    <row r="59" spans="1:7" x14ac:dyDescent="0.2">
      <c r="A59" s="33">
        <v>45603</v>
      </c>
      <c r="B59" s="34">
        <v>200.51</v>
      </c>
      <c r="C59" s="34">
        <v>222.18</v>
      </c>
      <c r="D59" s="34">
        <v>139.63</v>
      </c>
      <c r="E59" s="4">
        <f t="shared" si="4"/>
        <v>-3.4294234592445218E-3</v>
      </c>
      <c r="F59" s="4">
        <f t="shared" si="2"/>
        <v>-1.1874583055370192E-2</v>
      </c>
      <c r="G59" s="4">
        <f t="shared" si="3"/>
        <v>1.3427202787051781E-2</v>
      </c>
    </row>
    <row r="60" spans="1:7" x14ac:dyDescent="0.2">
      <c r="A60" s="33">
        <v>45604</v>
      </c>
      <c r="B60" s="34">
        <v>199.5</v>
      </c>
      <c r="C60" s="34">
        <v>220.51</v>
      </c>
      <c r="D60" s="34">
        <v>136.68</v>
      </c>
      <c r="E60" s="4">
        <f t="shared" si="4"/>
        <v>-5.0371552541019944E-3</v>
      </c>
      <c r="F60" s="4">
        <f t="shared" si="2"/>
        <v>-7.5164281213431269E-3</v>
      </c>
      <c r="G60" s="4">
        <f t="shared" si="3"/>
        <v>-2.1127264914416591E-2</v>
      </c>
    </row>
    <row r="61" spans="1:7" x14ac:dyDescent="0.2">
      <c r="A61" s="33">
        <v>45607</v>
      </c>
      <c r="B61" s="34">
        <v>174.43</v>
      </c>
      <c r="C61" s="34">
        <v>225.24</v>
      </c>
      <c r="D61" s="34">
        <v>133.86000000000001</v>
      </c>
      <c r="E61" s="4">
        <f t="shared" si="4"/>
        <v>-0.12566416040100248</v>
      </c>
      <c r="F61" s="4">
        <f t="shared" si="2"/>
        <v>2.1450274363974505E-2</v>
      </c>
      <c r="G61" s="4">
        <f t="shared" si="3"/>
        <v>-2.0632133450395034E-2</v>
      </c>
    </row>
    <row r="62" spans="1:7" x14ac:dyDescent="0.2">
      <c r="A62" s="33">
        <v>45608</v>
      </c>
      <c r="B62" s="34">
        <v>171.09</v>
      </c>
      <c r="C62" s="34">
        <v>219.09</v>
      </c>
      <c r="D62" s="34">
        <v>133.66999999999999</v>
      </c>
      <c r="E62" s="4">
        <f t="shared" si="4"/>
        <v>-1.9148082325288099E-2</v>
      </c>
      <c r="F62" s="4">
        <f t="shared" si="2"/>
        <v>-2.7304208843899863E-2</v>
      </c>
      <c r="G62" s="4">
        <f t="shared" si="3"/>
        <v>-1.4193933960856577E-3</v>
      </c>
    </row>
    <row r="63" spans="1:7" x14ac:dyDescent="0.2">
      <c r="A63" s="33">
        <v>45609</v>
      </c>
      <c r="B63" s="34">
        <v>170.35</v>
      </c>
      <c r="C63" s="34">
        <v>215.03</v>
      </c>
      <c r="D63" s="34">
        <v>134.28</v>
      </c>
      <c r="E63" s="4">
        <f t="shared" si="4"/>
        <v>-4.3252089543515636E-3</v>
      </c>
      <c r="F63" s="4">
        <f t="shared" si="2"/>
        <v>-1.8531197224884759E-2</v>
      </c>
      <c r="G63" s="4">
        <f t="shared" si="3"/>
        <v>4.5634772200195536E-3</v>
      </c>
    </row>
    <row r="64" spans="1:7" x14ac:dyDescent="0.2">
      <c r="A64" s="33">
        <v>45610</v>
      </c>
      <c r="B64" s="34">
        <v>169.63</v>
      </c>
      <c r="C64" s="34">
        <v>221.64</v>
      </c>
      <c r="D64" s="34">
        <v>130.22</v>
      </c>
      <c r="E64" s="4">
        <f t="shared" si="4"/>
        <v>-4.2265923099500963E-3</v>
      </c>
      <c r="F64" s="4">
        <f t="shared" si="2"/>
        <v>3.0739896758591755E-2</v>
      </c>
      <c r="G64" s="4">
        <f t="shared" si="3"/>
        <v>-3.0235329162943119E-2</v>
      </c>
    </row>
    <row r="65" spans="1:7" x14ac:dyDescent="0.2">
      <c r="A65" s="33">
        <v>45611</v>
      </c>
      <c r="B65" s="34">
        <v>164.99</v>
      </c>
      <c r="C65" s="34">
        <v>223.69</v>
      </c>
      <c r="D65" s="34">
        <v>127.07</v>
      </c>
      <c r="E65" s="4">
        <f t="shared" si="4"/>
        <v>-2.7353652066261783E-2</v>
      </c>
      <c r="F65" s="4">
        <f t="shared" si="2"/>
        <v>9.2492329904349906E-3</v>
      </c>
      <c r="G65" s="4">
        <f t="shared" si="3"/>
        <v>-2.4189832590999889E-2</v>
      </c>
    </row>
    <row r="66" spans="1:7" x14ac:dyDescent="0.2">
      <c r="A66" s="33">
        <v>45614</v>
      </c>
      <c r="B66" s="34">
        <v>166.28</v>
      </c>
      <c r="C66" s="34">
        <v>229.9</v>
      </c>
      <c r="D66" s="34">
        <v>126.92</v>
      </c>
      <c r="E66" s="4">
        <f t="shared" si="4"/>
        <v>7.8186556761015331E-3</v>
      </c>
      <c r="F66" s="4">
        <f t="shared" si="2"/>
        <v>2.7761634404756617E-2</v>
      </c>
      <c r="G66" s="4">
        <f t="shared" si="3"/>
        <v>-1.1804517195246045E-3</v>
      </c>
    </row>
    <row r="67" spans="1:7" x14ac:dyDescent="0.2">
      <c r="A67" s="33">
        <v>45615</v>
      </c>
      <c r="B67" s="34">
        <v>166.57</v>
      </c>
      <c r="C67" s="34">
        <v>222.58</v>
      </c>
      <c r="D67" s="34">
        <v>125.69</v>
      </c>
      <c r="E67" s="4">
        <f t="shared" si="4"/>
        <v>1.7440461871541498E-3</v>
      </c>
      <c r="F67" s="4">
        <f t="shared" si="2"/>
        <v>-3.1839930404523674E-2</v>
      </c>
      <c r="G67" s="4">
        <f t="shared" si="3"/>
        <v>-9.691144027734036E-3</v>
      </c>
    </row>
    <row r="68" spans="1:7" x14ac:dyDescent="0.2">
      <c r="A68" s="33">
        <v>45616</v>
      </c>
      <c r="B68" s="34">
        <v>167.76</v>
      </c>
      <c r="C68" s="34">
        <v>223.87</v>
      </c>
      <c r="D68" s="34">
        <v>128.57</v>
      </c>
      <c r="E68" s="4">
        <f t="shared" si="4"/>
        <v>7.144143603289895E-3</v>
      </c>
      <c r="F68" s="4">
        <f t="shared" si="2"/>
        <v>5.7956689729535089E-3</v>
      </c>
      <c r="G68" s="4">
        <f t="shared" si="3"/>
        <v>2.2913517384040061E-2</v>
      </c>
    </row>
    <row r="69" spans="1:7" x14ac:dyDescent="0.2">
      <c r="A69" s="33">
        <v>45617</v>
      </c>
      <c r="B69" s="34">
        <v>171.73</v>
      </c>
      <c r="C69" s="34">
        <v>228.21</v>
      </c>
      <c r="D69" s="34">
        <v>132.06</v>
      </c>
      <c r="E69" s="4">
        <f t="shared" ref="E69:E128" si="5">(B69-B68)/B68</f>
        <v>2.3664759179780632E-2</v>
      </c>
      <c r="F69" s="4">
        <f t="shared" ref="F69:F128" si="6">(C69-C68)/C68</f>
        <v>1.9386250949211609E-2</v>
      </c>
      <c r="G69" s="4">
        <f t="shared" ref="G69:G128" si="7">(D69-D68)/D68</f>
        <v>2.7144746052733992E-2</v>
      </c>
    </row>
    <row r="70" spans="1:7" x14ac:dyDescent="0.2">
      <c r="A70" s="33">
        <v>45618</v>
      </c>
      <c r="B70" s="34">
        <v>176.95</v>
      </c>
      <c r="C70" s="34">
        <v>225.89</v>
      </c>
      <c r="D70" s="34">
        <v>133.84</v>
      </c>
      <c r="E70" s="4">
        <f t="shared" si="5"/>
        <v>3.0396552728119718E-2</v>
      </c>
      <c r="F70" s="4">
        <f t="shared" si="6"/>
        <v>-1.0166075106261871E-2</v>
      </c>
      <c r="G70" s="4">
        <f t="shared" si="7"/>
        <v>1.3478721793124347E-2</v>
      </c>
    </row>
    <row r="71" spans="1:7" x14ac:dyDescent="0.2">
      <c r="A71" s="33">
        <v>45621</v>
      </c>
      <c r="B71" s="34">
        <v>177.06</v>
      </c>
      <c r="C71" s="34">
        <v>240.52</v>
      </c>
      <c r="D71" s="34">
        <v>134.49</v>
      </c>
      <c r="E71" s="4">
        <f t="shared" si="5"/>
        <v>6.2164453235384934E-4</v>
      </c>
      <c r="F71" s="4">
        <f t="shared" si="6"/>
        <v>6.4766036566470522E-2</v>
      </c>
      <c r="G71" s="4">
        <f t="shared" si="7"/>
        <v>4.8565451285116981E-3</v>
      </c>
    </row>
    <row r="72" spans="1:7" x14ac:dyDescent="0.2">
      <c r="A72" s="33">
        <v>45622</v>
      </c>
      <c r="B72" s="34">
        <v>181.14</v>
      </c>
      <c r="C72" s="34">
        <v>227.93</v>
      </c>
      <c r="D72" s="34">
        <v>134.37</v>
      </c>
      <c r="E72" s="4">
        <f t="shared" si="5"/>
        <v>2.30430362588952E-2</v>
      </c>
      <c r="F72" s="4">
        <f t="shared" si="6"/>
        <v>-5.2344919341426918E-2</v>
      </c>
      <c r="G72" s="4">
        <f t="shared" si="7"/>
        <v>-8.9225964755747299E-4</v>
      </c>
    </row>
    <row r="73" spans="1:7" x14ac:dyDescent="0.2">
      <c r="A73" s="33">
        <v>45623</v>
      </c>
      <c r="B73" s="34">
        <v>183.08</v>
      </c>
      <c r="C73" s="34">
        <v>229.66</v>
      </c>
      <c r="D73" s="34">
        <v>138.13999999999999</v>
      </c>
      <c r="E73" s="4">
        <f t="shared" si="5"/>
        <v>1.0709948106437155E-2</v>
      </c>
      <c r="F73" s="4">
        <f t="shared" si="6"/>
        <v>7.5900495766243574E-3</v>
      </c>
      <c r="G73" s="4">
        <f t="shared" si="7"/>
        <v>2.8056857929597244E-2</v>
      </c>
    </row>
    <row r="74" spans="1:7" x14ac:dyDescent="0.2">
      <c r="A74" s="33">
        <v>45625</v>
      </c>
      <c r="B74" s="34">
        <v>182.93</v>
      </c>
      <c r="C74" s="34">
        <v>232.77</v>
      </c>
      <c r="D74" s="34">
        <v>137.97</v>
      </c>
      <c r="E74" s="4">
        <f t="shared" si="5"/>
        <v>-8.193139611099283E-4</v>
      </c>
      <c r="F74" s="4">
        <f t="shared" si="6"/>
        <v>1.3541757380475545E-2</v>
      </c>
      <c r="G74" s="4">
        <f t="shared" si="7"/>
        <v>-1.230635587085475E-3</v>
      </c>
    </row>
    <row r="75" spans="1:7" x14ac:dyDescent="0.2">
      <c r="A75" s="33">
        <v>45628</v>
      </c>
      <c r="B75" s="34">
        <v>181.77</v>
      </c>
      <c r="C75" s="34">
        <v>234.14</v>
      </c>
      <c r="D75" s="34">
        <v>139.58000000000001</v>
      </c>
      <c r="E75" s="4">
        <f t="shared" si="5"/>
        <v>-6.341223418794055E-3</v>
      </c>
      <c r="F75" s="4">
        <f t="shared" si="6"/>
        <v>5.8856381836146238E-3</v>
      </c>
      <c r="G75" s="4">
        <f t="shared" si="7"/>
        <v>1.1669203450025466E-2</v>
      </c>
    </row>
    <row r="76" spans="1:7" x14ac:dyDescent="0.2">
      <c r="A76" s="33">
        <v>45629</v>
      </c>
      <c r="B76" s="34">
        <v>181.5</v>
      </c>
      <c r="C76" s="34">
        <v>234.01</v>
      </c>
      <c r="D76" s="34">
        <v>139.28</v>
      </c>
      <c r="E76" s="4">
        <f t="shared" si="5"/>
        <v>-1.4853936293118238E-3</v>
      </c>
      <c r="F76" s="4">
        <f t="shared" si="6"/>
        <v>-5.5522337063293524E-4</v>
      </c>
      <c r="G76" s="4">
        <f t="shared" si="7"/>
        <v>-2.1493050580313178E-3</v>
      </c>
    </row>
    <row r="77" spans="1:7" x14ac:dyDescent="0.2">
      <c r="A77" s="33">
        <v>45630</v>
      </c>
      <c r="B77" s="34">
        <v>176.46</v>
      </c>
      <c r="C77" s="34">
        <v>235.29</v>
      </c>
      <c r="D77" s="34">
        <v>140.19999999999999</v>
      </c>
      <c r="E77" s="4">
        <f t="shared" si="5"/>
        <v>-2.7768595041322269E-2</v>
      </c>
      <c r="F77" s="4">
        <f t="shared" si="6"/>
        <v>5.4698517157386484E-3</v>
      </c>
      <c r="G77" s="4">
        <f t="shared" si="7"/>
        <v>6.6053991958643556E-3</v>
      </c>
    </row>
    <row r="78" spans="1:7" x14ac:dyDescent="0.2">
      <c r="A78" s="33">
        <v>45631</v>
      </c>
      <c r="B78" s="34">
        <v>176.17</v>
      </c>
      <c r="C78" s="34">
        <v>227.81</v>
      </c>
      <c r="D78" s="34">
        <v>137.87</v>
      </c>
      <c r="E78" s="4">
        <f t="shared" si="5"/>
        <v>-1.6434319392498041E-3</v>
      </c>
      <c r="F78" s="4">
        <f t="shared" si="6"/>
        <v>-3.1790556334735813E-2</v>
      </c>
      <c r="G78" s="4">
        <f t="shared" si="7"/>
        <v>-1.6619115549215295E-2</v>
      </c>
    </row>
    <row r="79" spans="1:7" x14ac:dyDescent="0.2">
      <c r="A79" s="33">
        <v>45632</v>
      </c>
      <c r="B79" s="34">
        <v>176.19</v>
      </c>
      <c r="C79" s="34">
        <v>232.35</v>
      </c>
      <c r="D79" s="34">
        <v>140.58000000000001</v>
      </c>
      <c r="E79" s="4">
        <f t="shared" si="5"/>
        <v>1.1352670715791698E-4</v>
      </c>
      <c r="F79" s="4">
        <f t="shared" si="6"/>
        <v>1.9928888108511445E-2</v>
      </c>
      <c r="G79" s="4">
        <f t="shared" si="7"/>
        <v>1.9656197867556451E-2</v>
      </c>
    </row>
    <row r="80" spans="1:7" x14ac:dyDescent="0.2">
      <c r="A80" s="33">
        <v>45635</v>
      </c>
      <c r="B80" s="34">
        <v>176.57</v>
      </c>
      <c r="C80" s="34">
        <v>237.57</v>
      </c>
      <c r="D80" s="34">
        <v>144</v>
      </c>
      <c r="E80" s="4">
        <f t="shared" si="5"/>
        <v>2.1567625858448006E-3</v>
      </c>
      <c r="F80" s="4">
        <f t="shared" si="6"/>
        <v>2.2466107165913487E-2</v>
      </c>
      <c r="G80" s="4">
        <f t="shared" si="7"/>
        <v>2.4327784891165081E-2</v>
      </c>
    </row>
    <row r="81" spans="1:7" x14ac:dyDescent="0.2">
      <c r="A81" s="33">
        <v>45636</v>
      </c>
      <c r="B81" s="34">
        <v>175.67</v>
      </c>
      <c r="C81" s="34">
        <v>237.16</v>
      </c>
      <c r="D81" s="34">
        <v>141.93</v>
      </c>
      <c r="E81" s="4">
        <f t="shared" si="5"/>
        <v>-5.097128617545482E-3</v>
      </c>
      <c r="F81" s="4">
        <f t="shared" si="6"/>
        <v>-1.7258071305299347E-3</v>
      </c>
      <c r="G81" s="4">
        <f t="shared" si="7"/>
        <v>-1.4374999999999952E-2</v>
      </c>
    </row>
    <row r="82" spans="1:7" x14ac:dyDescent="0.2">
      <c r="A82" s="33">
        <v>45637</v>
      </c>
      <c r="B82" s="34">
        <v>174.37</v>
      </c>
      <c r="C82" s="34">
        <v>239.52</v>
      </c>
      <c r="D82" s="34">
        <v>141.19</v>
      </c>
      <c r="E82" s="4">
        <f t="shared" si="5"/>
        <v>-7.4002390846472539E-3</v>
      </c>
      <c r="F82" s="4">
        <f t="shared" si="6"/>
        <v>9.9510878731658529E-3</v>
      </c>
      <c r="G82" s="4">
        <f t="shared" si="7"/>
        <v>-5.2138378073698938E-3</v>
      </c>
    </row>
    <row r="83" spans="1:7" x14ac:dyDescent="0.2">
      <c r="A83" s="33">
        <v>45638</v>
      </c>
      <c r="B83" s="34">
        <v>173.19</v>
      </c>
      <c r="C83" s="34">
        <v>235.72</v>
      </c>
      <c r="D83" s="34">
        <v>140.91</v>
      </c>
      <c r="E83" s="4">
        <f t="shared" si="5"/>
        <v>-6.7672191317314145E-3</v>
      </c>
      <c r="F83" s="4">
        <f t="shared" si="6"/>
        <v>-1.5865063460253889E-2</v>
      </c>
      <c r="G83" s="4">
        <f t="shared" si="7"/>
        <v>-1.98314328210214E-3</v>
      </c>
    </row>
    <row r="84" spans="1:7" x14ac:dyDescent="0.2">
      <c r="A84" s="33">
        <v>45639</v>
      </c>
      <c r="B84" s="34">
        <v>173.37</v>
      </c>
      <c r="C84" s="34">
        <v>235.39</v>
      </c>
      <c r="D84" s="34">
        <v>139</v>
      </c>
      <c r="E84" s="4">
        <f t="shared" si="5"/>
        <v>1.0393209769617578E-3</v>
      </c>
      <c r="F84" s="4">
        <f t="shared" si="6"/>
        <v>-1.3999660614288669E-3</v>
      </c>
      <c r="G84" s="4">
        <f t="shared" si="7"/>
        <v>-1.3554751259669269E-2</v>
      </c>
    </row>
    <row r="85" spans="1:7" x14ac:dyDescent="0.2">
      <c r="A85" s="33">
        <v>45642</v>
      </c>
      <c r="B85" s="34">
        <v>171.63</v>
      </c>
      <c r="C85" s="34">
        <v>230.09</v>
      </c>
      <c r="D85" s="34">
        <v>137.66999999999999</v>
      </c>
      <c r="E85" s="4">
        <f t="shared" si="5"/>
        <v>-1.0036338466862832E-2</v>
      </c>
      <c r="F85" s="4">
        <f t="shared" si="6"/>
        <v>-2.2515824801393362E-2</v>
      </c>
      <c r="G85" s="4">
        <f t="shared" si="7"/>
        <v>-9.5683453237410971E-3</v>
      </c>
    </row>
    <row r="86" spans="1:7" x14ac:dyDescent="0.2">
      <c r="A86" s="33">
        <v>45643</v>
      </c>
      <c r="B86" s="34">
        <v>175.38</v>
      </c>
      <c r="C86" s="34">
        <v>228.81</v>
      </c>
      <c r="D86" s="34">
        <v>136.46</v>
      </c>
      <c r="E86" s="4">
        <f t="shared" si="5"/>
        <v>2.1849327040727146E-2</v>
      </c>
      <c r="F86" s="4">
        <f t="shared" si="6"/>
        <v>-5.5630405493502589E-3</v>
      </c>
      <c r="G86" s="4">
        <f t="shared" si="7"/>
        <v>-8.7891334350256381E-3</v>
      </c>
    </row>
    <row r="87" spans="1:7" x14ac:dyDescent="0.2">
      <c r="A87" s="33">
        <v>45644</v>
      </c>
      <c r="B87" s="34">
        <v>173.02</v>
      </c>
      <c r="C87" s="34">
        <v>212.69</v>
      </c>
      <c r="D87" s="34">
        <v>133.01</v>
      </c>
      <c r="E87" s="4">
        <f t="shared" si="5"/>
        <v>-1.3456494469152614E-2</v>
      </c>
      <c r="F87" s="4">
        <f t="shared" si="6"/>
        <v>-7.0451466282068109E-2</v>
      </c>
      <c r="G87" s="4">
        <f t="shared" si="7"/>
        <v>-2.528213395866933E-2</v>
      </c>
    </row>
    <row r="88" spans="1:7" x14ac:dyDescent="0.2">
      <c r="A88" s="33">
        <v>45645</v>
      </c>
      <c r="B88" s="34">
        <v>171.52</v>
      </c>
      <c r="C88" s="34">
        <v>213.58</v>
      </c>
      <c r="D88" s="34">
        <v>133.19</v>
      </c>
      <c r="E88" s="4">
        <f t="shared" si="5"/>
        <v>-8.6695179748006012E-3</v>
      </c>
      <c r="F88" s="4">
        <f t="shared" si="6"/>
        <v>4.1844938643096283E-3</v>
      </c>
      <c r="G88" s="4">
        <f t="shared" si="7"/>
        <v>1.3532817081422963E-3</v>
      </c>
    </row>
    <row r="89" spans="1:7" x14ac:dyDescent="0.2">
      <c r="A89" s="33">
        <v>45646</v>
      </c>
      <c r="B89" s="34">
        <v>175.58</v>
      </c>
      <c r="C89" s="34">
        <v>211.06</v>
      </c>
      <c r="D89" s="34">
        <v>134.51</v>
      </c>
      <c r="E89" s="4">
        <f t="shared" si="5"/>
        <v>2.3670708955223892E-2</v>
      </c>
      <c r="F89" s="4">
        <f t="shared" si="6"/>
        <v>-1.1798857570933656E-2</v>
      </c>
      <c r="G89" s="4">
        <f t="shared" si="7"/>
        <v>9.9106539529994226E-3</v>
      </c>
    </row>
    <row r="90" spans="1:7" x14ac:dyDescent="0.2">
      <c r="A90" s="33">
        <v>45649</v>
      </c>
      <c r="B90" s="34">
        <v>178.39</v>
      </c>
      <c r="C90" s="34">
        <v>207.57</v>
      </c>
      <c r="D90" s="34">
        <v>134.6</v>
      </c>
      <c r="E90" s="4">
        <f t="shared" si="5"/>
        <v>1.6004100694839807E-2</v>
      </c>
      <c r="F90" s="4">
        <f t="shared" si="6"/>
        <v>-1.6535582298872403E-2</v>
      </c>
      <c r="G90" s="4">
        <f t="shared" si="7"/>
        <v>6.6909523455507705E-4</v>
      </c>
    </row>
    <row r="91" spans="1:7" x14ac:dyDescent="0.2">
      <c r="A91" s="33">
        <v>45650</v>
      </c>
      <c r="B91" s="34">
        <v>180</v>
      </c>
      <c r="C91" s="34">
        <v>213.5</v>
      </c>
      <c r="D91" s="34">
        <v>136.1</v>
      </c>
      <c r="E91" s="4">
        <f t="shared" si="5"/>
        <v>9.0251695722855189E-3</v>
      </c>
      <c r="F91" s="4">
        <f t="shared" si="6"/>
        <v>2.856867562749919E-2</v>
      </c>
      <c r="G91" s="4">
        <f t="shared" si="7"/>
        <v>1.1144130757800892E-2</v>
      </c>
    </row>
    <row r="92" spans="1:7" x14ac:dyDescent="0.2">
      <c r="A92" s="33">
        <v>45652</v>
      </c>
      <c r="B92" s="34">
        <v>179.2</v>
      </c>
      <c r="C92" s="34">
        <v>215.5</v>
      </c>
      <c r="D92" s="34">
        <v>135.83000000000001</v>
      </c>
      <c r="E92" s="4">
        <f t="shared" si="5"/>
        <v>-4.4444444444445078E-3</v>
      </c>
      <c r="F92" s="4">
        <f t="shared" si="6"/>
        <v>9.3676814988290398E-3</v>
      </c>
      <c r="G92" s="4">
        <f t="shared" si="7"/>
        <v>-1.9838354151357957E-3</v>
      </c>
    </row>
    <row r="93" spans="1:7" x14ac:dyDescent="0.2">
      <c r="A93" s="33">
        <v>45653</v>
      </c>
      <c r="B93" s="34">
        <v>178.01</v>
      </c>
      <c r="C93" s="34">
        <v>211.43</v>
      </c>
      <c r="D93" s="34">
        <v>135.54</v>
      </c>
      <c r="E93" s="4">
        <f t="shared" si="5"/>
        <v>-6.6406249999999877E-3</v>
      </c>
      <c r="F93" s="4">
        <f t="shared" si="6"/>
        <v>-1.8886310904872358E-2</v>
      </c>
      <c r="G93" s="4">
        <f t="shared" si="7"/>
        <v>-2.1350217183245266E-3</v>
      </c>
    </row>
    <row r="94" spans="1:7" x14ac:dyDescent="0.2">
      <c r="A94" s="33">
        <v>45656</v>
      </c>
      <c r="B94" s="34">
        <v>176.2</v>
      </c>
      <c r="C94" s="34">
        <v>206.58</v>
      </c>
      <c r="D94" s="34">
        <v>134.41999999999999</v>
      </c>
      <c r="E94" s="4">
        <f t="shared" si="5"/>
        <v>-1.0167968091680257E-2</v>
      </c>
      <c r="F94" s="4">
        <f t="shared" si="6"/>
        <v>-2.2939034195714865E-2</v>
      </c>
      <c r="G94" s="4">
        <f t="shared" si="7"/>
        <v>-8.2632433230043125E-3</v>
      </c>
    </row>
    <row r="95" spans="1:7" x14ac:dyDescent="0.2">
      <c r="A95" s="33">
        <v>45657</v>
      </c>
      <c r="B95" s="34">
        <v>177.7</v>
      </c>
      <c r="C95" s="34">
        <v>208.51</v>
      </c>
      <c r="D95" s="34">
        <v>134.34</v>
      </c>
      <c r="E95" s="4">
        <f t="shared" si="5"/>
        <v>8.5130533484676502E-3</v>
      </c>
      <c r="F95" s="4">
        <f t="shared" si="6"/>
        <v>9.3426275534900689E-3</v>
      </c>
      <c r="G95" s="4">
        <f t="shared" si="7"/>
        <v>-5.9514953131962578E-4</v>
      </c>
    </row>
    <row r="96" spans="1:7" x14ac:dyDescent="0.2">
      <c r="A96" s="33">
        <v>45659</v>
      </c>
      <c r="B96" s="34">
        <v>179.44</v>
      </c>
      <c r="C96" s="34">
        <v>208.49</v>
      </c>
      <c r="D96" s="34">
        <v>133.43</v>
      </c>
      <c r="E96" s="4">
        <f t="shared" si="5"/>
        <v>9.7917839054586907E-3</v>
      </c>
      <c r="F96" s="4">
        <f t="shared" si="6"/>
        <v>-9.5918660975405552E-5</v>
      </c>
      <c r="G96" s="4">
        <f t="shared" si="7"/>
        <v>-6.7738573768050961E-3</v>
      </c>
    </row>
    <row r="97" spans="1:7" x14ac:dyDescent="0.2">
      <c r="A97" s="33">
        <v>45660</v>
      </c>
      <c r="B97" s="34">
        <v>181.22</v>
      </c>
      <c r="C97" s="34">
        <v>208.26</v>
      </c>
      <c r="D97" s="34">
        <v>135.69</v>
      </c>
      <c r="E97" s="4">
        <f t="shared" si="5"/>
        <v>9.9197503343736136E-3</v>
      </c>
      <c r="F97" s="4">
        <f t="shared" si="6"/>
        <v>-1.1031704158473701E-3</v>
      </c>
      <c r="G97" s="4">
        <f t="shared" si="7"/>
        <v>1.6937720152889087E-2</v>
      </c>
    </row>
    <row r="98" spans="1:7" x14ac:dyDescent="0.2">
      <c r="A98" s="33">
        <v>45663</v>
      </c>
      <c r="B98" s="34">
        <v>180.1</v>
      </c>
      <c r="C98" s="34">
        <v>218.88</v>
      </c>
      <c r="D98" s="34">
        <v>136.43</v>
      </c>
      <c r="E98" s="4">
        <f t="shared" si="5"/>
        <v>-6.1803332965456601E-3</v>
      </c>
      <c r="F98" s="4">
        <f t="shared" si="6"/>
        <v>5.0993949870354389E-2</v>
      </c>
      <c r="G98" s="4">
        <f t="shared" si="7"/>
        <v>5.4536074876557527E-3</v>
      </c>
    </row>
    <row r="99" spans="1:7" x14ac:dyDescent="0.2">
      <c r="A99" s="33">
        <v>45664</v>
      </c>
      <c r="B99" s="34">
        <v>179.53</v>
      </c>
      <c r="C99" s="34">
        <v>217.56</v>
      </c>
      <c r="D99" s="34">
        <v>137.41</v>
      </c>
      <c r="E99" s="4">
        <f t="shared" si="5"/>
        <v>-3.1649083842309449E-3</v>
      </c>
      <c r="F99" s="4">
        <f t="shared" si="6"/>
        <v>-6.0307017543859342E-3</v>
      </c>
      <c r="G99" s="4">
        <f t="shared" si="7"/>
        <v>7.1831708568495913E-3</v>
      </c>
    </row>
    <row r="100" spans="1:7" x14ac:dyDescent="0.2">
      <c r="A100" s="33">
        <v>45665</v>
      </c>
      <c r="B100" s="34">
        <v>178.5</v>
      </c>
      <c r="C100" s="34">
        <v>215.37</v>
      </c>
      <c r="D100" s="34">
        <v>137</v>
      </c>
      <c r="E100" s="4">
        <f t="shared" si="5"/>
        <v>-5.7372026959282632E-3</v>
      </c>
      <c r="F100" s="4">
        <f t="shared" si="6"/>
        <v>-1.0066188637617199E-2</v>
      </c>
      <c r="G100" s="4">
        <f t="shared" si="7"/>
        <v>-2.9837711956917008E-3</v>
      </c>
    </row>
    <row r="101" spans="1:7" x14ac:dyDescent="0.2">
      <c r="A101" s="33">
        <v>45667</v>
      </c>
      <c r="B101" s="34">
        <v>175.17</v>
      </c>
      <c r="C101" s="34">
        <v>212.12</v>
      </c>
      <c r="D101" s="34">
        <v>137.47</v>
      </c>
      <c r="E101" s="4">
        <f t="shared" si="5"/>
        <v>-1.865546218487402E-2</v>
      </c>
      <c r="F101" s="4">
        <f t="shared" si="6"/>
        <v>-1.5090309699586758E-2</v>
      </c>
      <c r="G101" s="4">
        <f t="shared" si="7"/>
        <v>3.4306569343065612E-3</v>
      </c>
    </row>
    <row r="102" spans="1:7" x14ac:dyDescent="0.2">
      <c r="A102" s="33">
        <v>45670</v>
      </c>
      <c r="B102" s="34">
        <v>176.74</v>
      </c>
      <c r="C102" s="34">
        <v>213.68</v>
      </c>
      <c r="D102" s="34">
        <v>141.94999999999999</v>
      </c>
      <c r="E102" s="4">
        <f t="shared" si="5"/>
        <v>8.9627219272707757E-3</v>
      </c>
      <c r="F102" s="4">
        <f t="shared" si="6"/>
        <v>7.3543277390156619E-3</v>
      </c>
      <c r="G102" s="4">
        <f t="shared" si="7"/>
        <v>3.2588928493489412E-2</v>
      </c>
    </row>
    <row r="103" spans="1:7" x14ac:dyDescent="0.2">
      <c r="A103" s="33">
        <v>45671</v>
      </c>
      <c r="B103" s="34">
        <v>175.55</v>
      </c>
      <c r="C103" s="34">
        <v>210.46</v>
      </c>
      <c r="D103" s="34">
        <v>143.43</v>
      </c>
      <c r="E103" s="4">
        <f t="shared" si="5"/>
        <v>-6.7330542039153425E-3</v>
      </c>
      <c r="F103" s="4">
        <f t="shared" si="6"/>
        <v>-1.5069262448521147E-2</v>
      </c>
      <c r="G103" s="4">
        <f t="shared" si="7"/>
        <v>1.0426206410708124E-2</v>
      </c>
    </row>
    <row r="104" spans="1:7" x14ac:dyDescent="0.2">
      <c r="A104" s="33">
        <v>45672</v>
      </c>
      <c r="B104" s="34">
        <v>171.35</v>
      </c>
      <c r="C104" s="34">
        <v>215.78</v>
      </c>
      <c r="D104" s="34">
        <v>142.22999999999999</v>
      </c>
      <c r="E104" s="4">
        <f t="shared" si="5"/>
        <v>-2.3924807747080699E-2</v>
      </c>
      <c r="F104" s="4">
        <f t="shared" si="6"/>
        <v>2.5277962558205802E-2</v>
      </c>
      <c r="G104" s="4">
        <f t="shared" si="7"/>
        <v>-8.3664505333613404E-3</v>
      </c>
    </row>
    <row r="105" spans="1:7" x14ac:dyDescent="0.2">
      <c r="A105" s="33">
        <v>45673</v>
      </c>
      <c r="B105" s="34">
        <v>173.7</v>
      </c>
      <c r="C105" s="34">
        <v>218.91</v>
      </c>
      <c r="D105" s="34">
        <v>144.72</v>
      </c>
      <c r="E105" s="4">
        <f t="shared" si="5"/>
        <v>1.3714619200466849E-2</v>
      </c>
      <c r="F105" s="4">
        <f t="shared" si="6"/>
        <v>1.4505514876262839E-2</v>
      </c>
      <c r="G105" s="4">
        <f t="shared" si="7"/>
        <v>1.7506855093862121E-2</v>
      </c>
    </row>
    <row r="106" spans="1:7" x14ac:dyDescent="0.2">
      <c r="A106" s="33">
        <v>45674</v>
      </c>
      <c r="B106" s="34">
        <v>171.56</v>
      </c>
      <c r="C106" s="34">
        <v>224.23</v>
      </c>
      <c r="D106" s="34">
        <v>147.36000000000001</v>
      </c>
      <c r="E106" s="4">
        <f t="shared" si="5"/>
        <v>-1.232009211283815E-2</v>
      </c>
      <c r="F106" s="4">
        <f t="shared" si="6"/>
        <v>2.4302224658535439E-2</v>
      </c>
      <c r="G106" s="4">
        <f t="shared" si="7"/>
        <v>1.8242122719734761E-2</v>
      </c>
    </row>
    <row r="107" spans="1:7" x14ac:dyDescent="0.2">
      <c r="A107" s="33">
        <v>45678</v>
      </c>
      <c r="B107" s="34">
        <v>172.61</v>
      </c>
      <c r="C107" s="34">
        <v>228</v>
      </c>
      <c r="D107" s="34">
        <v>152.57</v>
      </c>
      <c r="E107" s="4">
        <f t="shared" si="5"/>
        <v>6.12030776404763E-3</v>
      </c>
      <c r="F107" s="4">
        <f t="shared" si="6"/>
        <v>1.681309369843469E-2</v>
      </c>
      <c r="G107" s="4">
        <f t="shared" si="7"/>
        <v>3.5355591748099748E-2</v>
      </c>
    </row>
    <row r="108" spans="1:7" x14ac:dyDescent="0.2">
      <c r="A108" s="33">
        <v>45679</v>
      </c>
      <c r="B108" s="34">
        <v>169.2</v>
      </c>
      <c r="C108" s="34">
        <v>232.14</v>
      </c>
      <c r="D108" s="34">
        <v>152.6</v>
      </c>
      <c r="E108" s="4">
        <f t="shared" si="5"/>
        <v>-1.9755518220265483E-2</v>
      </c>
      <c r="F108" s="4">
        <f t="shared" si="6"/>
        <v>1.8157894736842047E-2</v>
      </c>
      <c r="G108" s="4">
        <f t="shared" si="7"/>
        <v>1.9663105459789696E-4</v>
      </c>
    </row>
    <row r="109" spans="1:7" x14ac:dyDescent="0.2">
      <c r="A109" s="33">
        <v>45680</v>
      </c>
      <c r="B109" s="34">
        <v>170.67</v>
      </c>
      <c r="C109" s="34">
        <v>234.89</v>
      </c>
      <c r="D109" s="34">
        <v>152.44999999999999</v>
      </c>
      <c r="E109" s="4">
        <f t="shared" si="5"/>
        <v>8.687943262411341E-3</v>
      </c>
      <c r="F109" s="4">
        <f t="shared" si="6"/>
        <v>1.1846299646764884E-2</v>
      </c>
      <c r="G109" s="4">
        <f t="shared" si="7"/>
        <v>-9.8296199213634126E-4</v>
      </c>
    </row>
    <row r="110" spans="1:7" x14ac:dyDescent="0.2">
      <c r="A110" s="33">
        <v>45681</v>
      </c>
      <c r="B110" s="34">
        <v>170.3</v>
      </c>
      <c r="C110" s="34">
        <v>233.3</v>
      </c>
      <c r="D110" s="34">
        <v>151.44</v>
      </c>
      <c r="E110" s="4">
        <f t="shared" si="5"/>
        <v>-2.1679264076872101E-3</v>
      </c>
      <c r="F110" s="4">
        <f t="shared" si="6"/>
        <v>-6.7691259738599987E-3</v>
      </c>
      <c r="G110" s="4">
        <f t="shared" si="7"/>
        <v>-6.6251229911445785E-3</v>
      </c>
    </row>
    <row r="111" spans="1:7" x14ac:dyDescent="0.2">
      <c r="A111" s="33">
        <v>45684</v>
      </c>
      <c r="B111" s="34">
        <v>176.9</v>
      </c>
      <c r="C111" s="34">
        <v>229.82</v>
      </c>
      <c r="D111" s="34">
        <v>150.96</v>
      </c>
      <c r="E111" s="4">
        <f t="shared" si="5"/>
        <v>3.8755137991779175E-2</v>
      </c>
      <c r="F111" s="4">
        <f t="shared" si="6"/>
        <v>-1.4916416630947355E-2</v>
      </c>
      <c r="G111" s="4">
        <f t="shared" si="7"/>
        <v>-3.1695721077653841E-3</v>
      </c>
    </row>
    <row r="112" spans="1:7" x14ac:dyDescent="0.2">
      <c r="A112" s="33">
        <v>45685</v>
      </c>
      <c r="B112" s="34">
        <v>174.81</v>
      </c>
      <c r="C112" s="34">
        <v>226.17</v>
      </c>
      <c r="D112" s="34">
        <v>150.34</v>
      </c>
      <c r="E112" s="4">
        <f t="shared" si="5"/>
        <v>-1.1814584511023195E-2</v>
      </c>
      <c r="F112" s="4">
        <f t="shared" si="6"/>
        <v>-1.588199460447309E-2</v>
      </c>
      <c r="G112" s="4">
        <f t="shared" si="7"/>
        <v>-4.107048224695313E-3</v>
      </c>
    </row>
    <row r="113" spans="1:7" x14ac:dyDescent="0.2">
      <c r="A113" s="33">
        <v>45686</v>
      </c>
      <c r="B113" s="34">
        <v>175.26</v>
      </c>
      <c r="C113" s="34">
        <v>224.45</v>
      </c>
      <c r="D113" s="34">
        <v>147.09</v>
      </c>
      <c r="E113" s="4">
        <f t="shared" si="5"/>
        <v>2.5742234425947521E-3</v>
      </c>
      <c r="F113" s="4">
        <f t="shared" si="6"/>
        <v>-7.6048989698014723E-3</v>
      </c>
      <c r="G113" s="4">
        <f t="shared" si="7"/>
        <v>-2.1617666622322736E-2</v>
      </c>
    </row>
    <row r="114" spans="1:7" x14ac:dyDescent="0.2">
      <c r="A114" s="33">
        <v>45687</v>
      </c>
      <c r="B114" s="34">
        <v>175.65</v>
      </c>
      <c r="C114" s="34">
        <v>225.36</v>
      </c>
      <c r="D114" s="34">
        <v>151.38</v>
      </c>
      <c r="E114" s="4">
        <f t="shared" si="5"/>
        <v>2.2252653200959421E-3</v>
      </c>
      <c r="F114" s="4">
        <f t="shared" si="6"/>
        <v>4.0543550902206503E-3</v>
      </c>
      <c r="G114" s="4">
        <f t="shared" si="7"/>
        <v>2.9165816846828417E-2</v>
      </c>
    </row>
    <row r="115" spans="1:7" x14ac:dyDescent="0.2">
      <c r="A115" s="33">
        <v>45688</v>
      </c>
      <c r="B115" s="34">
        <v>183.9</v>
      </c>
      <c r="C115" s="34">
        <v>219.11</v>
      </c>
      <c r="D115" s="34">
        <v>151.52000000000001</v>
      </c>
      <c r="E115" s="4">
        <f t="shared" si="5"/>
        <v>4.6968403074295471E-2</v>
      </c>
      <c r="F115" s="4">
        <f t="shared" si="6"/>
        <v>-2.7733404330848418E-2</v>
      </c>
      <c r="G115" s="4">
        <f t="shared" si="7"/>
        <v>9.248249438500118E-4</v>
      </c>
    </row>
    <row r="116" spans="1:7" x14ac:dyDescent="0.2">
      <c r="A116" s="33">
        <v>45691</v>
      </c>
      <c r="B116" s="34">
        <v>190.14</v>
      </c>
      <c r="C116" s="34">
        <v>215.82</v>
      </c>
      <c r="D116" s="34">
        <v>148.63</v>
      </c>
      <c r="E116" s="4">
        <f t="shared" si="5"/>
        <v>3.3931484502446874E-2</v>
      </c>
      <c r="F116" s="4">
        <f t="shared" si="6"/>
        <v>-1.5015289124184292E-2</v>
      </c>
      <c r="G116" s="4">
        <f t="shared" si="7"/>
        <v>-1.9073389651531249E-2</v>
      </c>
    </row>
    <row r="117" spans="1:7" x14ac:dyDescent="0.2">
      <c r="A117" s="33">
        <v>45692</v>
      </c>
      <c r="B117" s="34">
        <v>189.95</v>
      </c>
      <c r="C117" s="34">
        <v>214.75</v>
      </c>
      <c r="D117" s="34">
        <v>147.04</v>
      </c>
      <c r="E117" s="4">
        <f t="shared" si="5"/>
        <v>-9.9926370043124926E-4</v>
      </c>
      <c r="F117" s="4">
        <f t="shared" si="6"/>
        <v>-4.9578352330645597E-3</v>
      </c>
      <c r="G117" s="4">
        <f t="shared" si="7"/>
        <v>-1.0697705712171187E-2</v>
      </c>
    </row>
    <row r="118" spans="1:7" x14ac:dyDescent="0.2">
      <c r="A118" s="33">
        <v>45693</v>
      </c>
      <c r="B118" s="34">
        <v>191.75</v>
      </c>
      <c r="C118" s="34">
        <v>216.36</v>
      </c>
      <c r="D118" s="34">
        <v>147.99</v>
      </c>
      <c r="E118" s="4">
        <f t="shared" si="5"/>
        <v>9.4761779415636297E-3</v>
      </c>
      <c r="F118" s="4">
        <f t="shared" si="6"/>
        <v>7.4970896391153138E-3</v>
      </c>
      <c r="G118" s="4">
        <f t="shared" si="7"/>
        <v>6.4608269858543056E-3</v>
      </c>
    </row>
    <row r="119" spans="1:7" x14ac:dyDescent="0.2">
      <c r="A119" s="33">
        <v>45694</v>
      </c>
      <c r="B119" s="34">
        <v>192.97</v>
      </c>
      <c r="C119" s="34">
        <v>218.38</v>
      </c>
      <c r="D119" s="34">
        <v>147.63999999999999</v>
      </c>
      <c r="E119" s="4">
        <f t="shared" si="5"/>
        <v>6.3624511082138145E-3</v>
      </c>
      <c r="F119" s="4">
        <f t="shared" si="6"/>
        <v>9.3362913662413654E-3</v>
      </c>
      <c r="G119" s="4">
        <f t="shared" si="7"/>
        <v>-2.3650246638287904E-3</v>
      </c>
    </row>
    <row r="120" spans="1:7" x14ac:dyDescent="0.2">
      <c r="A120" s="33">
        <v>45695</v>
      </c>
      <c r="B120" s="34">
        <v>190.6</v>
      </c>
      <c r="C120" s="34">
        <v>210.55</v>
      </c>
      <c r="D120" s="34">
        <v>145.21</v>
      </c>
      <c r="E120" s="4">
        <f t="shared" si="5"/>
        <v>-1.2281701818935609E-2</v>
      </c>
      <c r="F120" s="4">
        <f t="shared" si="6"/>
        <v>-3.5854931770308567E-2</v>
      </c>
      <c r="G120" s="4">
        <f t="shared" si="7"/>
        <v>-1.6458954212950277E-2</v>
      </c>
    </row>
    <row r="121" spans="1:7" x14ac:dyDescent="0.2">
      <c r="A121" s="33">
        <v>45698</v>
      </c>
      <c r="B121" s="34">
        <v>190.34</v>
      </c>
      <c r="C121" s="34">
        <v>212.03</v>
      </c>
      <c r="D121" s="34">
        <v>143.69</v>
      </c>
      <c r="E121" s="4">
        <f t="shared" si="5"/>
        <v>-1.3641133263378328E-3</v>
      </c>
      <c r="F121" s="4">
        <f t="shared" si="6"/>
        <v>7.0292092139633798E-3</v>
      </c>
      <c r="G121" s="4">
        <f t="shared" si="7"/>
        <v>-1.046759865023077E-2</v>
      </c>
    </row>
    <row r="122" spans="1:7" x14ac:dyDescent="0.2">
      <c r="A122" s="33">
        <v>45699</v>
      </c>
      <c r="B122" s="34">
        <v>191.83</v>
      </c>
      <c r="C122" s="34">
        <v>210.52</v>
      </c>
      <c r="D122" s="34">
        <v>141.75</v>
      </c>
      <c r="E122" s="4">
        <f t="shared" si="5"/>
        <v>7.8280970894189818E-3</v>
      </c>
      <c r="F122" s="4">
        <f t="shared" si="6"/>
        <v>-7.1216337310757482E-3</v>
      </c>
      <c r="G122" s="4">
        <f t="shared" si="7"/>
        <v>-1.3501287493910486E-2</v>
      </c>
    </row>
    <row r="123" spans="1:7" x14ac:dyDescent="0.2">
      <c r="A123" s="33">
        <v>45700</v>
      </c>
      <c r="B123" s="34">
        <v>193</v>
      </c>
      <c r="C123" s="34">
        <v>205.34</v>
      </c>
      <c r="D123" s="34">
        <v>138.08000000000001</v>
      </c>
      <c r="E123" s="4">
        <f t="shared" si="5"/>
        <v>6.0991502893186023E-3</v>
      </c>
      <c r="F123" s="4">
        <f t="shared" si="6"/>
        <v>-2.4605738172145196E-2</v>
      </c>
      <c r="G123" s="4">
        <f t="shared" si="7"/>
        <v>-2.5890652557319135E-2</v>
      </c>
    </row>
    <row r="124" spans="1:7" x14ac:dyDescent="0.2">
      <c r="A124" s="33">
        <v>45701</v>
      </c>
      <c r="B124" s="34">
        <v>193.45</v>
      </c>
      <c r="C124" s="34">
        <v>204.89</v>
      </c>
      <c r="D124" s="34">
        <v>136.44999999999999</v>
      </c>
      <c r="E124" s="4">
        <f t="shared" si="5"/>
        <v>2.3316062176165215E-3</v>
      </c>
      <c r="F124" s="4">
        <f t="shared" si="6"/>
        <v>-2.1914872893738046E-3</v>
      </c>
      <c r="G124" s="4">
        <f t="shared" si="7"/>
        <v>-1.1804750869061586E-2</v>
      </c>
    </row>
    <row r="125" spans="1:7" x14ac:dyDescent="0.2">
      <c r="A125" s="33">
        <v>45702</v>
      </c>
      <c r="B125" s="34">
        <v>192.87</v>
      </c>
      <c r="C125" s="34">
        <v>206.77</v>
      </c>
      <c r="D125" s="34">
        <v>134.66999999999999</v>
      </c>
      <c r="E125" s="4">
        <f t="shared" si="5"/>
        <v>-2.9981907469629576E-3</v>
      </c>
      <c r="F125" s="4">
        <f t="shared" si="6"/>
        <v>9.1756552296355307E-3</v>
      </c>
      <c r="G125" s="4">
        <f t="shared" si="7"/>
        <v>-1.3045071454745337E-2</v>
      </c>
    </row>
    <row r="126" spans="1:7" x14ac:dyDescent="0.2">
      <c r="A126" s="33">
        <v>45706</v>
      </c>
      <c r="B126" s="34">
        <v>196.25</v>
      </c>
      <c r="C126" s="34">
        <v>202.24</v>
      </c>
      <c r="D126" s="34">
        <v>135.19999999999999</v>
      </c>
      <c r="E126" s="4">
        <f t="shared" si="5"/>
        <v>1.7524757608751985E-2</v>
      </c>
      <c r="F126" s="4">
        <f t="shared" si="6"/>
        <v>-2.1908400638390488E-2</v>
      </c>
      <c r="G126" s="4">
        <f t="shared" si="7"/>
        <v>3.9355461498477851E-3</v>
      </c>
    </row>
    <row r="127" spans="1:7" x14ac:dyDescent="0.2">
      <c r="A127" s="33">
        <v>45707</v>
      </c>
      <c r="B127" s="34">
        <v>197.35</v>
      </c>
      <c r="C127" s="34">
        <v>201.79</v>
      </c>
      <c r="D127" s="34">
        <v>137.15</v>
      </c>
      <c r="E127" s="4">
        <f t="shared" si="5"/>
        <v>5.6050955414012451E-3</v>
      </c>
      <c r="F127" s="4">
        <f t="shared" si="6"/>
        <v>-2.2250791139241349E-3</v>
      </c>
      <c r="G127" s="4">
        <f t="shared" si="7"/>
        <v>1.4423076923077051E-2</v>
      </c>
    </row>
    <row r="128" spans="1:7" x14ac:dyDescent="0.2">
      <c r="A128" s="33">
        <v>45708</v>
      </c>
      <c r="B128" s="34">
        <v>200.88</v>
      </c>
      <c r="C128" s="34">
        <v>198.06</v>
      </c>
      <c r="D128" s="34">
        <v>136.79</v>
      </c>
      <c r="E128" s="4">
        <f t="shared" si="5"/>
        <v>1.7887002786926787E-2</v>
      </c>
      <c r="F128" s="4">
        <f t="shared" si="6"/>
        <v>-1.8484563159720451E-2</v>
      </c>
      <c r="G128" s="4">
        <f t="shared" si="7"/>
        <v>-2.6248632883704966E-3</v>
      </c>
    </row>
    <row r="130" spans="1:7" ht="14.45" customHeight="1" x14ac:dyDescent="0.2">
      <c r="A130" s="49" t="s">
        <v>2</v>
      </c>
      <c r="B130" s="49"/>
      <c r="C130" s="49"/>
      <c r="D130" s="49"/>
      <c r="E130" s="9">
        <f>_xlfn.STDEV.P(E4:E128)</f>
        <v>1.7592273478229517E-2</v>
      </c>
      <c r="F130" s="9">
        <f>_xlfn.STDEV.P(F4:F128)</f>
        <v>2.2076661615382322E-2</v>
      </c>
      <c r="G130" s="9">
        <f>_xlfn.STDEV.P(G4:G128)</f>
        <v>1.4883469354542584E-2</v>
      </c>
    </row>
    <row r="131" spans="1:7" x14ac:dyDescent="0.2">
      <c r="A131" s="50" t="s">
        <v>3</v>
      </c>
      <c r="B131" s="50"/>
      <c r="C131" s="50"/>
      <c r="D131" s="50"/>
      <c r="E131" s="12">
        <f>((B128 / B3)^(1 / 0.5)) - 1</f>
        <v>4.8809891195729316E-2</v>
      </c>
      <c r="F131" s="12">
        <f>((C128 / C3)^(1 / 0.5)) - 1</f>
        <v>-0.27885146620143975</v>
      </c>
      <c r="G131" s="12">
        <f>((D128 / D3)^(1 / 0.5)) - 1</f>
        <v>-4.1912738374493275E-2</v>
      </c>
    </row>
    <row r="132" spans="1:7" ht="14.45" customHeight="1" x14ac:dyDescent="0.2">
      <c r="A132" s="49" t="s">
        <v>4</v>
      </c>
      <c r="B132" s="49"/>
      <c r="C132" s="49"/>
      <c r="D132" s="49"/>
      <c r="E132" s="9">
        <f>E130*SQRT(252)</f>
        <v>0.27926868371779545</v>
      </c>
      <c r="F132" s="9">
        <f>F130*SQRT(252)</f>
        <v>0.35045613847696261</v>
      </c>
      <c r="G132" s="9">
        <f>G130*SQRT(252)</f>
        <v>0.23626775134782421</v>
      </c>
    </row>
    <row r="134" spans="1:7" x14ac:dyDescent="0.2">
      <c r="A134" s="52" t="s">
        <v>34</v>
      </c>
      <c r="B134" s="52"/>
      <c r="C134" s="52"/>
      <c r="D134" s="52"/>
      <c r="E134" s="53">
        <f>CalculateCAGR(A3,A128,B3,B128)</f>
        <v>4.8402506971129355E-2</v>
      </c>
      <c r="F134" s="53">
        <f>CalculateCAGR(A3,A128,C3,C128)</f>
        <v>-0.2769270216575801</v>
      </c>
      <c r="G134" s="53">
        <f>CalculateCAGR(A3,A128,D3,D128)</f>
        <v>-4.1578262630002416E-2</v>
      </c>
    </row>
    <row r="135" spans="1:7" x14ac:dyDescent="0.2">
      <c r="A135" s="52" t="s">
        <v>35</v>
      </c>
      <c r="B135" s="52"/>
      <c r="C135" s="52"/>
      <c r="D135" s="52"/>
      <c r="E135" s="53">
        <f>AnnualVolatality(E130)</f>
        <v>0.27926868371779545</v>
      </c>
      <c r="F135" s="53">
        <f t="shared" ref="F135:G135" si="8">AnnualVolatality(F130)</f>
        <v>0.35045613847696261</v>
      </c>
      <c r="G135" s="53">
        <f t="shared" si="8"/>
        <v>0.23626775134782421</v>
      </c>
    </row>
  </sheetData>
  <mergeCells count="7">
    <mergeCell ref="A134:D134"/>
    <mergeCell ref="A135:D135"/>
    <mergeCell ref="E1:G1"/>
    <mergeCell ref="I9:L9"/>
    <mergeCell ref="A130:D130"/>
    <mergeCell ref="A131:D131"/>
    <mergeCell ref="A132:D13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7F1B2-B0AC-483D-8E14-498D45CD692B}">
  <sheetPr codeName="Sheet2"/>
  <dimension ref="A1:N126"/>
  <sheetViews>
    <sheetView workbookViewId="0">
      <selection activeCell="M21" sqref="M21"/>
    </sheetView>
  </sheetViews>
  <sheetFormatPr defaultColWidth="8.7109375" defaultRowHeight="14.25" x14ac:dyDescent="0.2"/>
  <cols>
    <col min="1" max="1" width="11.28515625" style="5" bestFit="1" customWidth="1"/>
    <col min="2" max="2" width="11" style="5" bestFit="1" customWidth="1"/>
    <col min="3" max="3" width="9.85546875" style="5" customWidth="1"/>
    <col min="4" max="4" width="8.7109375" style="5"/>
    <col min="5" max="5" width="15.28515625" style="5" customWidth="1"/>
    <col min="6" max="6" width="13.5703125" style="5" customWidth="1"/>
    <col min="7" max="7" width="15.42578125" style="5" bestFit="1" customWidth="1"/>
    <col min="8" max="8" width="13.5703125" style="5" bestFit="1" customWidth="1"/>
    <col min="9" max="9" width="8.7109375" style="5"/>
    <col min="10" max="10" width="8.28515625" style="5" customWidth="1"/>
    <col min="11" max="11" width="7.42578125" style="5" customWidth="1"/>
    <col min="12" max="12" width="7.140625" style="5" customWidth="1"/>
    <col min="13" max="13" width="17.28515625" style="5" bestFit="1" customWidth="1"/>
    <col min="14" max="14" width="19.140625" style="5" customWidth="1"/>
    <col min="15" max="16384" width="8.7109375" style="5"/>
  </cols>
  <sheetData>
    <row r="1" spans="1:13" x14ac:dyDescent="0.2">
      <c r="A1" s="1" t="s">
        <v>0</v>
      </c>
      <c r="B1" s="1" t="s">
        <v>26</v>
      </c>
      <c r="C1" s="2" t="s">
        <v>28</v>
      </c>
      <c r="E1" s="23" t="s">
        <v>33</v>
      </c>
      <c r="F1" s="23"/>
      <c r="G1" s="23"/>
      <c r="H1" s="24">
        <v>4.0599999999999997E-2</v>
      </c>
      <c r="I1" s="23"/>
      <c r="J1" s="23" t="s">
        <v>32</v>
      </c>
      <c r="K1" s="6"/>
      <c r="L1" s="6"/>
      <c r="M1" s="6"/>
    </row>
    <row r="2" spans="1:13" x14ac:dyDescent="0.2">
      <c r="A2" s="3">
        <v>45525</v>
      </c>
      <c r="B2" s="4">
        <f>('Q1-5'!B4-'Q1-5'!B3)/'Q1-5'!B3</f>
        <v>1.9372928880958217E-3</v>
      </c>
      <c r="C2" s="4">
        <f>('Q1-5'!D4-'Q1-5'!D3)/'Q1-5'!D3</f>
        <v>1.7173524150268988E-3</v>
      </c>
      <c r="G2" s="17" t="s">
        <v>26</v>
      </c>
      <c r="H2" s="17" t="s">
        <v>28</v>
      </c>
      <c r="I2" s="17" t="s">
        <v>9</v>
      </c>
    </row>
    <row r="3" spans="1:13" x14ac:dyDescent="0.2">
      <c r="A3" s="3">
        <v>45526</v>
      </c>
      <c r="B3" s="4">
        <f>('Q1-5'!B5-'Q1-5'!B4)/'Q1-5'!B4</f>
        <v>-8.1412506996385585E-4</v>
      </c>
      <c r="C3" s="4">
        <f>('Q1-5'!D5-'Q1-5'!D4)/'Q1-5'!D4</f>
        <v>1.6429744981783681E-3</v>
      </c>
      <c r="E3" s="17" t="s">
        <v>16</v>
      </c>
      <c r="F3" s="17"/>
      <c r="G3" s="25">
        <f>AVERAGE(B2:B126)</f>
        <v>3.5013189707545521E-4</v>
      </c>
      <c r="H3" s="25">
        <f>AVERAGE(C2:C126)</f>
        <v>-6.1098648248466601E-5</v>
      </c>
      <c r="I3" s="17"/>
    </row>
    <row r="4" spans="1:13" x14ac:dyDescent="0.2">
      <c r="A4" s="3">
        <v>45527</v>
      </c>
      <c r="B4" s="4">
        <f>('Q1-5'!B6-'Q1-5'!B5)/'Q1-5'!B5</f>
        <v>6.0090645210572223E-3</v>
      </c>
      <c r="C4" s="4">
        <f>('Q1-5'!D6-'Q1-5'!D5)/'Q1-5'!D5</f>
        <v>4.635572671516229E-3</v>
      </c>
      <c r="E4" s="17" t="s">
        <v>17</v>
      </c>
      <c r="F4" s="17"/>
      <c r="G4" s="26">
        <f>_xlfn.STDEV.S(B2:B126)</f>
        <v>1.7663067621315923E-2</v>
      </c>
      <c r="H4" s="26">
        <f>_xlfn.STDEV.S(C2:C126)</f>
        <v>1.4943362833370753E-2</v>
      </c>
      <c r="I4" s="17"/>
    </row>
    <row r="5" spans="1:13" x14ac:dyDescent="0.2">
      <c r="A5" s="3">
        <v>45530</v>
      </c>
      <c r="B5" s="4">
        <f>('Q1-5'!B7-'Q1-5'!B6)/'Q1-5'!B6</f>
        <v>-5.5682105796007911E-4</v>
      </c>
      <c r="C5" s="4">
        <f>('Q1-5'!D7-'Q1-5'!D6)/'Q1-5'!D6</f>
        <v>-2.6975225385106514E-3</v>
      </c>
      <c r="E5" s="17" t="s">
        <v>20</v>
      </c>
      <c r="F5" s="17"/>
      <c r="G5" s="27">
        <v>0.3</v>
      </c>
      <c r="H5" s="27">
        <v>0.7</v>
      </c>
      <c r="I5" s="27">
        <f>G5+H5</f>
        <v>1</v>
      </c>
      <c r="J5" s="8"/>
      <c r="K5" s="8"/>
    </row>
    <row r="6" spans="1:13" x14ac:dyDescent="0.2">
      <c r="A6" s="3">
        <v>45531</v>
      </c>
      <c r="B6" s="4">
        <f>('Q1-5'!B8-'Q1-5'!B7)/'Q1-5'!B7</f>
        <v>-7.6985413290113968E-3</v>
      </c>
      <c r="C6" s="4">
        <f>('Q1-5'!D8-'Q1-5'!D7)/'Q1-5'!D7</f>
        <v>4.3419460459818149E-3</v>
      </c>
      <c r="E6" s="18" t="s">
        <v>18</v>
      </c>
      <c r="F6" s="16">
        <f>CORREL(B2:B126,C2:C126)</f>
        <v>0.19107451407131429</v>
      </c>
    </row>
    <row r="7" spans="1:13" x14ac:dyDescent="0.2">
      <c r="A7" s="3">
        <v>45532</v>
      </c>
      <c r="B7" s="4">
        <f>('Q1-5'!B9-'Q1-5'!B8)/'Q1-5'!B8</f>
        <v>-2.654144548795334E-3</v>
      </c>
      <c r="C7" s="4">
        <f>('Q1-5'!D9-'Q1-5'!D8)/'Q1-5'!D8</f>
        <v>-2.8348688873133977E-4</v>
      </c>
      <c r="E7" s="18" t="s">
        <v>23</v>
      </c>
      <c r="F7" s="10">
        <f>H1/252</f>
        <v>1.6111111111111111E-4</v>
      </c>
    </row>
    <row r="8" spans="1:13" x14ac:dyDescent="0.2">
      <c r="A8" s="3">
        <v>45533</v>
      </c>
      <c r="B8" s="4">
        <f>('Q1-5'!B10-'Q1-5'!B9)/'Q1-5'!B9</f>
        <v>-1.1258955987717444E-3</v>
      </c>
      <c r="C8" s="4">
        <f>('Q1-5'!D10-'Q1-5'!D9)/'Q1-5'!D9</f>
        <v>1.0421097405359413E-2</v>
      </c>
      <c r="E8" s="18" t="s">
        <v>19</v>
      </c>
      <c r="F8" s="8">
        <f>(N19-F7)/M19</f>
        <v>-7.8464802787211931E-3</v>
      </c>
    </row>
    <row r="9" spans="1:13" x14ac:dyDescent="0.2">
      <c r="A9" s="3">
        <v>45534</v>
      </c>
      <c r="B9" s="4">
        <f>('Q1-5'!B11-'Q1-5'!B10)/'Q1-5'!B10</f>
        <v>5.7895276155343553E-3</v>
      </c>
      <c r="C9" s="4">
        <f>('Q1-5'!D11-'Q1-5'!D10)/'Q1-5'!D10</f>
        <v>2.7362660492526933E-3</v>
      </c>
    </row>
    <row r="10" spans="1:13" x14ac:dyDescent="0.2">
      <c r="A10" s="3">
        <v>45538</v>
      </c>
      <c r="B10" s="4">
        <f>('Q1-5'!B12-'Q1-5'!B11)/'Q1-5'!B11</f>
        <v>7.0296979267484867E-3</v>
      </c>
      <c r="C10" s="4">
        <f>('Q1-5'!D12-'Q1-5'!D11)/'Q1-5'!D11</f>
        <v>-2.7707808564231596E-2</v>
      </c>
      <c r="E10" s="51" t="s">
        <v>15</v>
      </c>
      <c r="F10" s="51"/>
      <c r="H10" s="11"/>
    </row>
    <row r="11" spans="1:13" x14ac:dyDescent="0.2">
      <c r="A11" s="3">
        <v>45539</v>
      </c>
      <c r="B11" s="4">
        <f>('Q1-5'!B13-'Q1-5'!B12)/'Q1-5'!B12</f>
        <v>-3.4397288684304052E-3</v>
      </c>
      <c r="C11" s="4">
        <f>('Q1-5'!D13-'Q1-5'!D12)/'Q1-5'!D12</f>
        <v>-5.7570523891768231E-3</v>
      </c>
      <c r="E11" s="5" t="s">
        <v>26</v>
      </c>
      <c r="F11" s="5" t="s">
        <v>28</v>
      </c>
      <c r="G11" s="5" t="s">
        <v>24</v>
      </c>
      <c r="H11" s="5" t="s">
        <v>25</v>
      </c>
    </row>
    <row r="12" spans="1:13" x14ac:dyDescent="0.2">
      <c r="A12" s="3">
        <v>45540</v>
      </c>
      <c r="B12" s="4">
        <f>('Q1-5'!B14-'Q1-5'!B13)/'Q1-5'!B13</f>
        <v>-2.1064920562407885E-2</v>
      </c>
      <c r="C12" s="4">
        <f>('Q1-5'!D14-'Q1-5'!D13)/'Q1-5'!D13</f>
        <v>1.4475969889983864E-3</v>
      </c>
      <c r="E12" s="14">
        <v>0</v>
      </c>
      <c r="F12" s="14">
        <f>1-E12</f>
        <v>1</v>
      </c>
      <c r="G12" s="8">
        <f>SQRT(E12^2*$G$4^2+F12^2*$H$4^2+2*E12*F12*$F$6*$G$4*$H$4)</f>
        <v>1.4943362833370753E-2</v>
      </c>
      <c r="H12" s="13">
        <f t="shared" ref="H12:H22" si="0">E12*$K$5+F12*$F$7</f>
        <v>1.6111111111111111E-4</v>
      </c>
    </row>
    <row r="13" spans="1:13" x14ac:dyDescent="0.2">
      <c r="A13" s="3">
        <v>45541</v>
      </c>
      <c r="B13" s="4">
        <f>('Q1-5'!B15-'Q1-5'!B14)/'Q1-5'!B14</f>
        <v>2.7999585191330082E-3</v>
      </c>
      <c r="C13" s="4">
        <f>('Q1-5'!D15-'Q1-5'!D14)/'Q1-5'!D14</f>
        <v>-8.3839259901707496E-3</v>
      </c>
      <c r="E13" s="14">
        <v>0.1</v>
      </c>
      <c r="F13" s="14">
        <f t="shared" ref="F13:F22" si="1">1-E13</f>
        <v>0.9</v>
      </c>
      <c r="G13" s="8">
        <f t="shared" ref="G13:G22" si="2">SQRT(E13^2*$G$4^2+F13^2*$H$4^2+2*E13*F13*$F$6*$G$4*$H$4)</f>
        <v>1.3895112291698954E-2</v>
      </c>
      <c r="H13" s="13">
        <f t="shared" si="0"/>
        <v>1.45E-4</v>
      </c>
    </row>
    <row r="14" spans="1:13" x14ac:dyDescent="0.2">
      <c r="A14" s="3">
        <v>45544</v>
      </c>
      <c r="B14" s="4">
        <f>('Q1-5'!B16-'Q1-5'!B15)/'Q1-5'!B15</f>
        <v>1.5615305067218106E-2</v>
      </c>
      <c r="C14" s="4">
        <f>('Q1-5'!D16-'Q1-5'!D15)/'Q1-5'!D15</f>
        <v>6.4868804664724115E-3</v>
      </c>
      <c r="E14" s="14">
        <v>0.2</v>
      </c>
      <c r="F14" s="14">
        <f t="shared" si="1"/>
        <v>0.8</v>
      </c>
      <c r="G14" s="8">
        <f t="shared" si="2"/>
        <v>1.3097046542380345E-2</v>
      </c>
      <c r="H14" s="13">
        <f t="shared" si="0"/>
        <v>1.2888888888888889E-4</v>
      </c>
    </row>
    <row r="15" spans="1:13" x14ac:dyDescent="0.2">
      <c r="A15" s="3">
        <v>45545</v>
      </c>
      <c r="B15" s="4">
        <f>('Q1-5'!B17-'Q1-5'!B16)/'Q1-5'!B16</f>
        <v>1.4917014560635409E-2</v>
      </c>
      <c r="C15" s="4">
        <f>('Q1-5'!D17-'Q1-5'!D16)/'Q1-5'!D16</f>
        <v>-4.3449923962634711E-4</v>
      </c>
      <c r="E15" s="14">
        <v>0.3</v>
      </c>
      <c r="F15" s="14">
        <f t="shared" si="1"/>
        <v>0.7</v>
      </c>
      <c r="G15" s="8">
        <f t="shared" si="2"/>
        <v>1.2596806753015895E-2</v>
      </c>
      <c r="H15" s="13">
        <f t="shared" si="0"/>
        <v>1.1277777777777776E-4</v>
      </c>
    </row>
    <row r="16" spans="1:13" x14ac:dyDescent="0.2">
      <c r="A16" s="3">
        <v>45546</v>
      </c>
      <c r="B16" s="4">
        <f>('Q1-5'!B18-'Q1-5'!B17)/'Q1-5'!B17</f>
        <v>-2.3877602207173269E-2</v>
      </c>
      <c r="C16" s="4">
        <f>('Q1-5'!D18-'Q1-5'!D17)/'Q1-5'!D17</f>
        <v>4.8540172426283232E-3</v>
      </c>
      <c r="E16" s="14">
        <v>0.4</v>
      </c>
      <c r="F16" s="14">
        <f t="shared" si="1"/>
        <v>0.6</v>
      </c>
      <c r="G16" s="8">
        <f t="shared" si="2"/>
        <v>1.2430401534848879E-2</v>
      </c>
      <c r="H16" s="13">
        <f t="shared" si="0"/>
        <v>9.6666666666666667E-5</v>
      </c>
    </row>
    <row r="17" spans="1:14" x14ac:dyDescent="0.2">
      <c r="A17" s="3">
        <v>45547</v>
      </c>
      <c r="B17" s="4">
        <f>('Q1-5'!B19-'Q1-5'!B18)/'Q1-5'!B18</f>
        <v>-2.9292358291792648E-3</v>
      </c>
      <c r="C17" s="4">
        <f>('Q1-5'!D19-'Q1-5'!D18)/'Q1-5'!D18</f>
        <v>-1.6654650324441259E-2</v>
      </c>
      <c r="E17" s="14">
        <v>0.5</v>
      </c>
      <c r="F17" s="14">
        <f t="shared" si="1"/>
        <v>0.5</v>
      </c>
      <c r="G17" s="8">
        <f t="shared" si="2"/>
        <v>1.2611052849287263E-2</v>
      </c>
      <c r="H17" s="13">
        <f t="shared" si="0"/>
        <v>8.0555555555555556E-5</v>
      </c>
    </row>
    <row r="18" spans="1:14" x14ac:dyDescent="0.2">
      <c r="A18" s="3">
        <v>45548</v>
      </c>
      <c r="B18" s="4">
        <f>('Q1-5'!B20-'Q1-5'!B19)/'Q1-5'!B19</f>
        <v>9.7928048654776683E-4</v>
      </c>
      <c r="C18" s="4">
        <f>('Q1-5'!D20-'Q1-5'!D19)/'Q1-5'!D19</f>
        <v>6.7453625632378916E-3</v>
      </c>
      <c r="E18" s="14">
        <v>0.6</v>
      </c>
      <c r="F18" s="14">
        <f t="shared" si="1"/>
        <v>0.4</v>
      </c>
      <c r="G18" s="8">
        <f t="shared" si="2"/>
        <v>1.3124437333564281E-2</v>
      </c>
      <c r="H18" s="13">
        <f t="shared" si="0"/>
        <v>6.4444444444444445E-5</v>
      </c>
      <c r="J18" s="17" t="s">
        <v>26</v>
      </c>
      <c r="K18" s="17" t="s">
        <v>28</v>
      </c>
      <c r="L18" s="17" t="s">
        <v>9</v>
      </c>
      <c r="M18" s="17" t="s">
        <v>21</v>
      </c>
      <c r="N18" s="17" t="s">
        <v>22</v>
      </c>
    </row>
    <row r="19" spans="1:14" x14ac:dyDescent="0.2">
      <c r="A19" s="3">
        <v>45551</v>
      </c>
      <c r="B19" s="4">
        <f>('Q1-5'!B21-'Q1-5'!B20)/'Q1-5'!B20</f>
        <v>7.8265794758250445E-3</v>
      </c>
      <c r="C19" s="4">
        <f>('Q1-5'!D21-'Q1-5'!D20)/'Q1-5'!D20</f>
        <v>7.2827907654213096E-3</v>
      </c>
      <c r="E19" s="14">
        <v>0.7</v>
      </c>
      <c r="F19" s="14">
        <f t="shared" si="1"/>
        <v>0.30000000000000004</v>
      </c>
      <c r="G19" s="8">
        <f t="shared" si="2"/>
        <v>1.3933825260243215E-2</v>
      </c>
      <c r="H19" s="13">
        <f t="shared" si="0"/>
        <v>4.833333333333334E-5</v>
      </c>
      <c r="J19" s="12">
        <v>0.3</v>
      </c>
      <c r="K19" s="12">
        <v>0.7</v>
      </c>
      <c r="L19" s="12">
        <v>1</v>
      </c>
      <c r="M19" s="8">
        <f>SQRT(G5^2*G4^2+H5^2*H4^2+2*G5*H5*F6*G4*H4)</f>
        <v>1.2596806753015895E-2</v>
      </c>
      <c r="N19" s="22">
        <f>SUMPRODUCT(G3:H3,G5:H5)</f>
        <v>6.227051534870994E-5</v>
      </c>
    </row>
    <row r="20" spans="1:14" x14ac:dyDescent="0.2">
      <c r="A20" s="3">
        <v>45552</v>
      </c>
      <c r="B20" s="4">
        <f>('Q1-5'!B22-'Q1-5'!B21)/'Q1-5'!B21</f>
        <v>-1.1648699739436986E-2</v>
      </c>
      <c r="C20" s="4">
        <f>('Q1-5'!D22-'Q1-5'!D21)/'Q1-5'!D21</f>
        <v>2.8920540814107471E-4</v>
      </c>
      <c r="E20" s="14">
        <v>0.8</v>
      </c>
      <c r="F20" s="14">
        <f t="shared" si="1"/>
        <v>0.19999999999999996</v>
      </c>
      <c r="G20" s="8">
        <f t="shared" si="2"/>
        <v>1.4991349077001857E-2</v>
      </c>
      <c r="H20" s="13">
        <f t="shared" si="0"/>
        <v>3.2222222222222216E-5</v>
      </c>
    </row>
    <row r="21" spans="1:14" x14ac:dyDescent="0.2">
      <c r="A21" s="3">
        <v>45553</v>
      </c>
      <c r="B21" s="4">
        <f>('Q1-5'!B23-'Q1-5'!B22)/'Q1-5'!B22</f>
        <v>-2.6363401395709017E-3</v>
      </c>
      <c r="C21" s="4">
        <f>('Q1-5'!D23-'Q1-5'!D22)/'Q1-5'!D22</f>
        <v>4.7705095771593542E-3</v>
      </c>
      <c r="E21" s="14">
        <v>0.9</v>
      </c>
      <c r="F21" s="14">
        <f t="shared" si="1"/>
        <v>9.9999999999999978E-2</v>
      </c>
      <c r="G21" s="8">
        <f t="shared" si="2"/>
        <v>1.6248631869152968E-2</v>
      </c>
      <c r="H21" s="13">
        <f t="shared" si="0"/>
        <v>1.6111111111111108E-5</v>
      </c>
    </row>
    <row r="22" spans="1:14" x14ac:dyDescent="0.2">
      <c r="A22" s="3">
        <v>45554</v>
      </c>
      <c r="B22" s="4">
        <f>('Q1-5'!B24-'Q1-5'!B23)/'Q1-5'!B23</f>
        <v>3.5244117342179268E-3</v>
      </c>
      <c r="C22" s="4">
        <f>('Q1-5'!D24-'Q1-5'!D23)/'Q1-5'!D23</f>
        <v>2.114955758578518E-2</v>
      </c>
      <c r="E22" s="14">
        <v>1</v>
      </c>
      <c r="F22" s="14">
        <f t="shared" si="1"/>
        <v>0</v>
      </c>
      <c r="G22" s="8">
        <f t="shared" si="2"/>
        <v>1.7663067621315923E-2</v>
      </c>
      <c r="H22" s="13">
        <f t="shared" si="0"/>
        <v>0</v>
      </c>
    </row>
    <row r="23" spans="1:14" x14ac:dyDescent="0.2">
      <c r="A23" s="3">
        <v>45555</v>
      </c>
      <c r="B23" s="4">
        <f>('Q1-5'!B25-'Q1-5'!B24)/'Q1-5'!B24</f>
        <v>-7.7471335605828779E-4</v>
      </c>
      <c r="C23" s="4">
        <f>('Q1-5'!D25-'Q1-5'!D24)/'Q1-5'!D24</f>
        <v>-1.3103205353997784E-2</v>
      </c>
    </row>
    <row r="24" spans="1:14" x14ac:dyDescent="0.2">
      <c r="A24" s="3">
        <v>45558</v>
      </c>
      <c r="B24" s="4">
        <f>('Q1-5'!B26-'Q1-5'!B25)/'Q1-5'!B25</f>
        <v>1.8607536052101805E-3</v>
      </c>
      <c r="C24" s="4">
        <f>('Q1-5'!D26-'Q1-5'!D25)/'Q1-5'!D25</f>
        <v>-2.1414804768364005E-3</v>
      </c>
    </row>
    <row r="25" spans="1:14" x14ac:dyDescent="0.2">
      <c r="A25" s="3">
        <v>45559</v>
      </c>
      <c r="B25" s="4">
        <f>('Q1-5'!B27-'Q1-5'!B26)/'Q1-5'!B26</f>
        <v>-1.6509312283961284E-3</v>
      </c>
      <c r="C25" s="4">
        <f>('Q1-5'!D27-'Q1-5'!D26)/'Q1-5'!D26</f>
        <v>1.4879462050218275E-2</v>
      </c>
    </row>
    <row r="26" spans="1:14" x14ac:dyDescent="0.2">
      <c r="A26" s="3">
        <v>45560</v>
      </c>
      <c r="B26" s="4">
        <f>('Q1-5'!B28-'Q1-5'!B27)/'Q1-5'!B27</f>
        <v>-1.1627306082373005E-2</v>
      </c>
      <c r="C26" s="4">
        <f>('Q1-5'!D28-'Q1-5'!D27)/'Q1-5'!D27</f>
        <v>-1.7128356946500365E-2</v>
      </c>
    </row>
    <row r="27" spans="1:14" x14ac:dyDescent="0.2">
      <c r="A27" s="3">
        <v>45561</v>
      </c>
      <c r="B27" s="4">
        <f>('Q1-5'!B29-'Q1-5'!B28)/'Q1-5'!B28</f>
        <v>3.3462302624700136E-3</v>
      </c>
      <c r="C27" s="4">
        <f>('Q1-5'!D29-'Q1-5'!D28)/'Q1-5'!D28</f>
        <v>5.2352266207687979E-2</v>
      </c>
    </row>
    <row r="28" spans="1:14" x14ac:dyDescent="0.2">
      <c r="A28" s="3">
        <v>45562</v>
      </c>
      <c r="B28" s="4">
        <f>('Q1-5'!B30-'Q1-5'!B29)/'Q1-5'!B29</f>
        <v>1.5059927045336041E-2</v>
      </c>
      <c r="C28" s="4">
        <f>('Q1-5'!D30-'Q1-5'!D29)/'Q1-5'!D29</f>
        <v>8.9955022488755147E-3</v>
      </c>
    </row>
    <row r="29" spans="1:14" x14ac:dyDescent="0.2">
      <c r="A29" s="3">
        <v>45565</v>
      </c>
      <c r="B29" s="4">
        <f>('Q1-5'!B31-'Q1-5'!B30)/'Q1-5'!B30</f>
        <v>1.3809743826685136E-2</v>
      </c>
      <c r="C29" s="4">
        <f>('Q1-5'!D31-'Q1-5'!D30)/'Q1-5'!D30</f>
        <v>2.8366878292583244E-3</v>
      </c>
    </row>
    <row r="30" spans="1:14" x14ac:dyDescent="0.2">
      <c r="A30" s="3">
        <v>45566</v>
      </c>
      <c r="B30" s="4">
        <f>('Q1-5'!B32-'Q1-5'!B31)/'Q1-5'!B31</f>
        <v>-2.6331780433460697E-3</v>
      </c>
      <c r="C30" s="4">
        <f>('Q1-5'!D32-'Q1-5'!D31)/'Q1-5'!D31</f>
        <v>-1.2931034482758537E-2</v>
      </c>
    </row>
    <row r="31" spans="1:14" x14ac:dyDescent="0.2">
      <c r="A31" s="3">
        <v>45567</v>
      </c>
      <c r="B31" s="4">
        <f>('Q1-5'!B33-'Q1-5'!B32)/'Q1-5'!B32</f>
        <v>-7.1080422420803603E-4</v>
      </c>
      <c r="C31" s="4">
        <f>('Q1-5'!D33-'Q1-5'!D32)/'Q1-5'!D32</f>
        <v>-1.3646288209613968E-4</v>
      </c>
    </row>
    <row r="32" spans="1:14" x14ac:dyDescent="0.2">
      <c r="A32" s="3">
        <v>45568</v>
      </c>
      <c r="B32" s="4">
        <f>('Q1-5'!B34-'Q1-5'!B33)/'Q1-5'!B33</f>
        <v>-6.9606747281780543E-3</v>
      </c>
      <c r="C32" s="4">
        <f>('Q1-5'!D34-'Q1-5'!D33)/'Q1-5'!D33</f>
        <v>-1.357990992220541E-2</v>
      </c>
    </row>
    <row r="33" spans="1:3" x14ac:dyDescent="0.2">
      <c r="A33" s="3">
        <v>45569</v>
      </c>
      <c r="B33" s="4">
        <f>('Q1-5'!B35-'Q1-5'!B34)/'Q1-5'!B34</f>
        <v>-5.9350217446917201E-3</v>
      </c>
      <c r="C33" s="4">
        <f>('Q1-5'!D35-'Q1-5'!D34)/'Q1-5'!D34</f>
        <v>2.9055690072638356E-3</v>
      </c>
    </row>
    <row r="34" spans="1:3" x14ac:dyDescent="0.2">
      <c r="A34" s="3">
        <v>45572</v>
      </c>
      <c r="B34" s="4">
        <f>('Q1-5'!B36-'Q1-5'!B35)/'Q1-5'!B35</f>
        <v>-3.4999227958205695E-3</v>
      </c>
      <c r="C34" s="4">
        <f>('Q1-5'!D36-'Q1-5'!D35)/'Q1-5'!D35</f>
        <v>-7.4498172035594437E-3</v>
      </c>
    </row>
    <row r="35" spans="1:3" x14ac:dyDescent="0.2">
      <c r="A35" s="3">
        <v>45573</v>
      </c>
      <c r="B35" s="4">
        <f>('Q1-5'!B37-'Q1-5'!B36)/'Q1-5'!B36</f>
        <v>-3.0990134807087582E-3</v>
      </c>
      <c r="C35" s="4">
        <f>('Q1-5'!D37-'Q1-5'!D36)/'Q1-5'!D36</f>
        <v>5.0038223643062568E-3</v>
      </c>
    </row>
    <row r="36" spans="1:3" x14ac:dyDescent="0.2">
      <c r="A36" s="3">
        <v>45574</v>
      </c>
      <c r="B36" s="4">
        <f>('Q1-5'!B38-'Q1-5'!B37)/'Q1-5'!B37</f>
        <v>9.015076939018752E-3</v>
      </c>
      <c r="C36" s="4">
        <f>('Q1-5'!D38-'Q1-5'!D37)/'Q1-5'!D37</f>
        <v>1.3138787082497595E-3</v>
      </c>
    </row>
    <row r="37" spans="1:3" x14ac:dyDescent="0.2">
      <c r="A37" s="3">
        <v>45575</v>
      </c>
      <c r="B37" s="4">
        <f>('Q1-5'!B39-'Q1-5'!B38)/'Q1-5'!B38</f>
        <v>-2.0539152759948944E-3</v>
      </c>
      <c r="C37" s="4">
        <f>('Q1-5'!D39-'Q1-5'!D38)/'Q1-5'!D38</f>
        <v>-1.422651933701659E-2</v>
      </c>
    </row>
    <row r="38" spans="1:3" x14ac:dyDescent="0.2">
      <c r="A38" s="3">
        <v>45576</v>
      </c>
      <c r="B38" s="4">
        <f>('Q1-5'!B40-'Q1-5'!B39)/'Q1-5'!B39</f>
        <v>-8.2325701054796288E-4</v>
      </c>
      <c r="C38" s="4">
        <f>('Q1-5'!D40-'Q1-5'!D39)/'Q1-5'!D39</f>
        <v>7.566204287515651E-3</v>
      </c>
    </row>
    <row r="39" spans="1:3" x14ac:dyDescent="0.2">
      <c r="A39" s="3">
        <v>45579</v>
      </c>
      <c r="B39" s="4">
        <f>('Q1-5'!B41-'Q1-5'!B40)/'Q1-5'!B40</f>
        <v>7.5184098048303623E-3</v>
      </c>
      <c r="C39" s="4">
        <f>('Q1-5'!D41-'Q1-5'!D40)/'Q1-5'!D40</f>
        <v>2.9898484216382064E-3</v>
      </c>
    </row>
    <row r="40" spans="1:3" x14ac:dyDescent="0.2">
      <c r="A40" s="3">
        <v>45580</v>
      </c>
      <c r="B40" s="4">
        <f>('Q1-5'!B42-'Q1-5'!B41)/'Q1-5'!B41</f>
        <v>-1.9371326348070494E-2</v>
      </c>
      <c r="C40" s="4">
        <f>('Q1-5'!D42-'Q1-5'!D41)/'Q1-5'!D41</f>
        <v>2.287694974003553E-3</v>
      </c>
    </row>
    <row r="41" spans="1:3" x14ac:dyDescent="0.2">
      <c r="A41" s="3">
        <v>45581</v>
      </c>
      <c r="B41" s="4">
        <f>('Q1-5'!B43-'Q1-5'!B42)/'Q1-5'!B42</f>
        <v>-7.2969873866361177E-3</v>
      </c>
      <c r="C41" s="4">
        <f>('Q1-5'!D43-'Q1-5'!D42)/'Q1-5'!D42</f>
        <v>-3.7833725273205138E-2</v>
      </c>
    </row>
    <row r="42" spans="1:3" x14ac:dyDescent="0.2">
      <c r="A42" s="3">
        <v>45582</v>
      </c>
      <c r="B42" s="4">
        <f>('Q1-5'!B44-'Q1-5'!B43)/'Q1-5'!B43</f>
        <v>-9.9233434841962346E-3</v>
      </c>
      <c r="C42" s="4">
        <f>('Q1-5'!D44-'Q1-5'!D43)/'Q1-5'!D43</f>
        <v>-1.2148659334339918E-2</v>
      </c>
    </row>
    <row r="43" spans="1:3" x14ac:dyDescent="0.2">
      <c r="A43" s="3">
        <v>45583</v>
      </c>
      <c r="B43" s="4">
        <f>('Q1-5'!B45-'Q1-5'!B44)/'Q1-5'!B44</f>
        <v>1.5378904385640372E-3</v>
      </c>
      <c r="C43" s="4">
        <f>('Q1-5'!D45-'Q1-5'!D44)/'Q1-5'!D44</f>
        <v>1.0260515208848967E-2</v>
      </c>
    </row>
    <row r="44" spans="1:3" x14ac:dyDescent="0.2">
      <c r="A44" s="3">
        <v>45586</v>
      </c>
      <c r="B44" s="4">
        <f>('Q1-5'!B46-'Q1-5'!B45)/'Q1-5'!B45</f>
        <v>-1.2284231706025741E-2</v>
      </c>
      <c r="C44" s="4">
        <f>('Q1-5'!D46-'Q1-5'!D45)/'Q1-5'!D45</f>
        <v>-1.4910321976518199E-2</v>
      </c>
    </row>
    <row r="45" spans="1:3" x14ac:dyDescent="0.2">
      <c r="A45" s="3">
        <v>45587</v>
      </c>
      <c r="B45" s="4">
        <f>('Q1-5'!B47-'Q1-5'!B46)/'Q1-5'!B46</f>
        <v>1.1900932775812152E-2</v>
      </c>
      <c r="C45" s="4">
        <f>('Q1-5'!D47-'Q1-5'!D46)/'Q1-5'!D46</f>
        <v>-2.4129862532904237E-2</v>
      </c>
    </row>
    <row r="46" spans="1:3" x14ac:dyDescent="0.2">
      <c r="A46" s="3">
        <v>45588</v>
      </c>
      <c r="B46" s="4">
        <f>('Q1-5'!B48-'Q1-5'!B47)/'Q1-5'!B47</f>
        <v>-4.6620046620046377E-3</v>
      </c>
      <c r="C46" s="4">
        <f>('Q1-5'!D48-'Q1-5'!D47)/'Q1-5'!D47</f>
        <v>-3.2219391578001406E-3</v>
      </c>
    </row>
    <row r="47" spans="1:3" x14ac:dyDescent="0.2">
      <c r="A47" s="3">
        <v>45589</v>
      </c>
      <c r="B47" s="4">
        <f>('Q1-5'!B49-'Q1-5'!B48)/'Q1-5'!B48</f>
        <v>9.4209069618906224E-3</v>
      </c>
      <c r="C47" s="4">
        <f>('Q1-5'!D49-'Q1-5'!D48)/'Q1-5'!D48</f>
        <v>-1.7590017289333258E-2</v>
      </c>
    </row>
    <row r="48" spans="1:3" x14ac:dyDescent="0.2">
      <c r="A48" s="3">
        <v>45590</v>
      </c>
      <c r="B48" s="4">
        <f>('Q1-5'!B50-'Q1-5'!B49)/'Q1-5'!B49</f>
        <v>-9.4911679409439044E-3</v>
      </c>
      <c r="C48" s="4">
        <f>('Q1-5'!D50-'Q1-5'!D49)/'Q1-5'!D49</f>
        <v>-3.8258474252046829E-3</v>
      </c>
    </row>
    <row r="49" spans="1:3" x14ac:dyDescent="0.2">
      <c r="A49" s="3">
        <v>45593</v>
      </c>
      <c r="B49" s="4">
        <f>('Q1-5'!B51-'Q1-5'!B50)/'Q1-5'!B50</f>
        <v>9.741815278147525E-3</v>
      </c>
      <c r="C49" s="4">
        <f>('Q1-5'!D51-'Q1-5'!D50)/'Q1-5'!D50</f>
        <v>1.0369460019970769E-2</v>
      </c>
    </row>
    <row r="50" spans="1:3" x14ac:dyDescent="0.2">
      <c r="A50" s="3">
        <v>45594</v>
      </c>
      <c r="B50" s="4">
        <f>('Q1-5'!B52-'Q1-5'!B51)/'Q1-5'!B51</f>
        <v>-1.2125685364825927E-3</v>
      </c>
      <c r="C50" s="4">
        <f>('Q1-5'!D52-'Q1-5'!D51)/'Q1-5'!D51</f>
        <v>-2.3566975824844327E-3</v>
      </c>
    </row>
    <row r="51" spans="1:3" x14ac:dyDescent="0.2">
      <c r="A51" s="3">
        <v>45595</v>
      </c>
      <c r="B51" s="4">
        <f>('Q1-5'!B53-'Q1-5'!B52)/'Q1-5'!B52</f>
        <v>6.3605172868830884E-2</v>
      </c>
      <c r="C51" s="4">
        <f>('Q1-5'!D53-'Q1-5'!D52)/'Q1-5'!D52</f>
        <v>1.9812542863675937E-3</v>
      </c>
    </row>
    <row r="52" spans="1:3" x14ac:dyDescent="0.2">
      <c r="A52" s="3">
        <v>45596</v>
      </c>
      <c r="B52" s="4">
        <f>('Q1-5'!B54-'Q1-5'!B53)/'Q1-5'!B53</f>
        <v>1.17617866004963E-2</v>
      </c>
      <c r="C52" s="4">
        <f>('Q1-5'!D54-'Q1-5'!D53)/'Q1-5'!D53</f>
        <v>-8.9740664689330497E-3</v>
      </c>
    </row>
    <row r="53" spans="1:3" x14ac:dyDescent="0.2">
      <c r="A53" s="3">
        <v>45597</v>
      </c>
      <c r="B53" s="4">
        <f>('Q1-5'!B55-'Q1-5'!B54)/'Q1-5'!B54</f>
        <v>-1.5696277039289408E-3</v>
      </c>
      <c r="C53" s="4">
        <f>('Q1-5'!D55-'Q1-5'!D54)/'Q1-5'!D54</f>
        <v>5.0341493361982979E-2</v>
      </c>
    </row>
    <row r="54" spans="1:3" x14ac:dyDescent="0.2">
      <c r="A54" s="3">
        <v>45600</v>
      </c>
      <c r="B54" s="4">
        <f>('Q1-5'!B56-'Q1-5'!B55)/'Q1-5'!B55</f>
        <v>-1.5131417342176431E-2</v>
      </c>
      <c r="C54" s="4">
        <f>('Q1-5'!D56-'Q1-5'!D55)/'Q1-5'!D55</f>
        <v>2.031124424636517E-2</v>
      </c>
    </row>
    <row r="55" spans="1:3" x14ac:dyDescent="0.2">
      <c r="A55" s="3">
        <v>45601</v>
      </c>
      <c r="B55" s="4">
        <f>('Q1-5'!B57-'Q1-5'!B56)/'Q1-5'!B56</f>
        <v>6.035815832792976E-3</v>
      </c>
      <c r="C55" s="4">
        <f>('Q1-5'!D57-'Q1-5'!D56)/'Q1-5'!D56</f>
        <v>5.4421768707482339E-3</v>
      </c>
    </row>
    <row r="56" spans="1:3" x14ac:dyDescent="0.2">
      <c r="A56" s="3">
        <v>45602</v>
      </c>
      <c r="B56" s="4">
        <f>('Q1-5'!B58-'Q1-5'!B57)/'Q1-5'!B57</f>
        <v>-2.3800079333598681E-3</v>
      </c>
      <c r="C56" s="4">
        <f>('Q1-5'!D58-'Q1-5'!D57)/'Q1-5'!D57</f>
        <v>-1.8730859625382776E-2</v>
      </c>
    </row>
    <row r="57" spans="1:3" x14ac:dyDescent="0.2">
      <c r="A57" s="3">
        <v>45603</v>
      </c>
      <c r="B57" s="4">
        <f>('Q1-5'!B59-'Q1-5'!B58)/'Q1-5'!B58</f>
        <v>-3.4294234592445218E-3</v>
      </c>
      <c r="C57" s="4">
        <f>('Q1-5'!D59-'Q1-5'!D58)/'Q1-5'!D58</f>
        <v>1.3427202787051781E-2</v>
      </c>
    </row>
    <row r="58" spans="1:3" x14ac:dyDescent="0.2">
      <c r="A58" s="3">
        <v>45604</v>
      </c>
      <c r="B58" s="4">
        <f>('Q1-5'!B60-'Q1-5'!B59)/'Q1-5'!B59</f>
        <v>-5.0371552541019944E-3</v>
      </c>
      <c r="C58" s="4">
        <f>('Q1-5'!D60-'Q1-5'!D59)/'Q1-5'!D59</f>
        <v>-2.1127264914416591E-2</v>
      </c>
    </row>
    <row r="59" spans="1:3" x14ac:dyDescent="0.2">
      <c r="A59" s="3">
        <v>45607</v>
      </c>
      <c r="B59" s="4">
        <f>('Q1-5'!B61-'Q1-5'!B60)/'Q1-5'!B60</f>
        <v>-0.12566416040100248</v>
      </c>
      <c r="C59" s="4">
        <f>('Q1-5'!D61-'Q1-5'!D60)/'Q1-5'!D60</f>
        <v>-2.0632133450395034E-2</v>
      </c>
    </row>
    <row r="60" spans="1:3" x14ac:dyDescent="0.2">
      <c r="A60" s="3">
        <v>45608</v>
      </c>
      <c r="B60" s="4">
        <f>('Q1-5'!B62-'Q1-5'!B61)/'Q1-5'!B61</f>
        <v>-1.9148082325288099E-2</v>
      </c>
      <c r="C60" s="4">
        <f>('Q1-5'!D62-'Q1-5'!D61)/'Q1-5'!D61</f>
        <v>-1.4193933960856577E-3</v>
      </c>
    </row>
    <row r="61" spans="1:3" x14ac:dyDescent="0.2">
      <c r="A61" s="3">
        <v>45609</v>
      </c>
      <c r="B61" s="4">
        <f>('Q1-5'!B63-'Q1-5'!B62)/'Q1-5'!B62</f>
        <v>-4.3252089543515636E-3</v>
      </c>
      <c r="C61" s="4">
        <f>('Q1-5'!D63-'Q1-5'!D62)/'Q1-5'!D62</f>
        <v>4.5634772200195536E-3</v>
      </c>
    </row>
    <row r="62" spans="1:3" x14ac:dyDescent="0.2">
      <c r="A62" s="3">
        <v>45610</v>
      </c>
      <c r="B62" s="4">
        <f>('Q1-5'!B64-'Q1-5'!B63)/'Q1-5'!B63</f>
        <v>-4.2265923099500963E-3</v>
      </c>
      <c r="C62" s="4">
        <f>('Q1-5'!D64-'Q1-5'!D63)/'Q1-5'!D63</f>
        <v>-3.0235329162943119E-2</v>
      </c>
    </row>
    <row r="63" spans="1:3" x14ac:dyDescent="0.2">
      <c r="A63" s="3">
        <v>45611</v>
      </c>
      <c r="B63" s="4">
        <f>('Q1-5'!B65-'Q1-5'!B64)/'Q1-5'!B64</f>
        <v>-2.7353652066261783E-2</v>
      </c>
      <c r="C63" s="4">
        <f>('Q1-5'!D65-'Q1-5'!D64)/'Q1-5'!D64</f>
        <v>-2.4189832590999889E-2</v>
      </c>
    </row>
    <row r="64" spans="1:3" x14ac:dyDescent="0.2">
      <c r="A64" s="3">
        <v>45614</v>
      </c>
      <c r="B64" s="4">
        <f>('Q1-5'!B66-'Q1-5'!B65)/'Q1-5'!B65</f>
        <v>7.8186556761015331E-3</v>
      </c>
      <c r="C64" s="4">
        <f>('Q1-5'!D66-'Q1-5'!D65)/'Q1-5'!D65</f>
        <v>-1.1804517195246045E-3</v>
      </c>
    </row>
    <row r="65" spans="1:3" x14ac:dyDescent="0.2">
      <c r="A65" s="3">
        <v>45615</v>
      </c>
      <c r="B65" s="4">
        <f>('Q1-5'!B67-'Q1-5'!B66)/'Q1-5'!B66</f>
        <v>1.7440461871541498E-3</v>
      </c>
      <c r="C65" s="4">
        <f>('Q1-5'!D67-'Q1-5'!D66)/'Q1-5'!D66</f>
        <v>-9.691144027734036E-3</v>
      </c>
    </row>
    <row r="66" spans="1:3" x14ac:dyDescent="0.2">
      <c r="A66" s="3">
        <v>45616</v>
      </c>
      <c r="B66" s="4">
        <f>('Q1-5'!B68-'Q1-5'!B67)/'Q1-5'!B67</f>
        <v>7.144143603289895E-3</v>
      </c>
      <c r="C66" s="4">
        <f>('Q1-5'!D68-'Q1-5'!D67)/'Q1-5'!D67</f>
        <v>2.2913517384040061E-2</v>
      </c>
    </row>
    <row r="67" spans="1:3" x14ac:dyDescent="0.2">
      <c r="A67" s="3">
        <v>45617</v>
      </c>
      <c r="B67" s="4">
        <f>('Q1-5'!B69-'Q1-5'!B68)/'Q1-5'!B68</f>
        <v>2.3664759179780632E-2</v>
      </c>
      <c r="C67" s="4">
        <f>('Q1-5'!D69-'Q1-5'!D68)/'Q1-5'!D68</f>
        <v>2.7144746052733992E-2</v>
      </c>
    </row>
    <row r="68" spans="1:3" x14ac:dyDescent="0.2">
      <c r="A68" s="3">
        <v>45618</v>
      </c>
      <c r="B68" s="4">
        <f>('Q1-5'!B70-'Q1-5'!B69)/'Q1-5'!B69</f>
        <v>3.0396552728119718E-2</v>
      </c>
      <c r="C68" s="4">
        <f>('Q1-5'!D70-'Q1-5'!D69)/'Q1-5'!D69</f>
        <v>1.3478721793124347E-2</v>
      </c>
    </row>
    <row r="69" spans="1:3" x14ac:dyDescent="0.2">
      <c r="A69" s="3">
        <v>45621</v>
      </c>
      <c r="B69" s="4">
        <f>('Q1-5'!B71-'Q1-5'!B70)/'Q1-5'!B70</f>
        <v>6.2164453235384934E-4</v>
      </c>
      <c r="C69" s="4">
        <f>('Q1-5'!D71-'Q1-5'!D70)/'Q1-5'!D70</f>
        <v>4.8565451285116981E-3</v>
      </c>
    </row>
    <row r="70" spans="1:3" x14ac:dyDescent="0.2">
      <c r="A70" s="3">
        <v>45622</v>
      </c>
      <c r="B70" s="4">
        <f>('Q1-5'!B72-'Q1-5'!B71)/'Q1-5'!B71</f>
        <v>2.30430362588952E-2</v>
      </c>
      <c r="C70" s="4">
        <f>('Q1-5'!D72-'Q1-5'!D71)/'Q1-5'!D71</f>
        <v>-8.9225964755747299E-4</v>
      </c>
    </row>
    <row r="71" spans="1:3" x14ac:dyDescent="0.2">
      <c r="A71" s="3">
        <v>45623</v>
      </c>
      <c r="B71" s="4">
        <f>('Q1-5'!B73-'Q1-5'!B72)/'Q1-5'!B72</f>
        <v>1.0709948106437155E-2</v>
      </c>
      <c r="C71" s="4">
        <f>('Q1-5'!D73-'Q1-5'!D72)/'Q1-5'!D72</f>
        <v>2.8056857929597244E-2</v>
      </c>
    </row>
    <row r="72" spans="1:3" x14ac:dyDescent="0.2">
      <c r="A72" s="3">
        <v>45625</v>
      </c>
      <c r="B72" s="4">
        <f>('Q1-5'!B74-'Q1-5'!B73)/'Q1-5'!B73</f>
        <v>-8.193139611099283E-4</v>
      </c>
      <c r="C72" s="4">
        <f>('Q1-5'!D74-'Q1-5'!D73)/'Q1-5'!D73</f>
        <v>-1.230635587085475E-3</v>
      </c>
    </row>
    <row r="73" spans="1:3" x14ac:dyDescent="0.2">
      <c r="A73" s="3">
        <v>45628</v>
      </c>
      <c r="B73" s="4">
        <f>('Q1-5'!B75-'Q1-5'!B74)/'Q1-5'!B74</f>
        <v>-6.341223418794055E-3</v>
      </c>
      <c r="C73" s="4">
        <f>('Q1-5'!D75-'Q1-5'!D74)/'Q1-5'!D74</f>
        <v>1.1669203450025466E-2</v>
      </c>
    </row>
    <row r="74" spans="1:3" x14ac:dyDescent="0.2">
      <c r="A74" s="3">
        <v>45629</v>
      </c>
      <c r="B74" s="4">
        <f>('Q1-5'!B76-'Q1-5'!B75)/'Q1-5'!B75</f>
        <v>-1.4853936293118238E-3</v>
      </c>
      <c r="C74" s="4">
        <f>('Q1-5'!D76-'Q1-5'!D75)/'Q1-5'!D75</f>
        <v>-2.1493050580313178E-3</v>
      </c>
    </row>
    <row r="75" spans="1:3" x14ac:dyDescent="0.2">
      <c r="A75" s="3">
        <v>45630</v>
      </c>
      <c r="B75" s="4">
        <f>('Q1-5'!B77-'Q1-5'!B76)/'Q1-5'!B76</f>
        <v>-2.7768595041322269E-2</v>
      </c>
      <c r="C75" s="4">
        <f>('Q1-5'!D77-'Q1-5'!D76)/'Q1-5'!D76</f>
        <v>6.6053991958643556E-3</v>
      </c>
    </row>
    <row r="76" spans="1:3" x14ac:dyDescent="0.2">
      <c r="A76" s="3">
        <v>45631</v>
      </c>
      <c r="B76" s="4">
        <f>('Q1-5'!B78-'Q1-5'!B77)/'Q1-5'!B77</f>
        <v>-1.6434319392498041E-3</v>
      </c>
      <c r="C76" s="4">
        <f>('Q1-5'!D78-'Q1-5'!D77)/'Q1-5'!D77</f>
        <v>-1.6619115549215295E-2</v>
      </c>
    </row>
    <row r="77" spans="1:3" x14ac:dyDescent="0.2">
      <c r="A77" s="3">
        <v>45632</v>
      </c>
      <c r="B77" s="4">
        <f>('Q1-5'!B79-'Q1-5'!B78)/'Q1-5'!B78</f>
        <v>1.1352670715791698E-4</v>
      </c>
      <c r="C77" s="4">
        <f>('Q1-5'!D79-'Q1-5'!D78)/'Q1-5'!D78</f>
        <v>1.9656197867556451E-2</v>
      </c>
    </row>
    <row r="78" spans="1:3" x14ac:dyDescent="0.2">
      <c r="A78" s="3">
        <v>45635</v>
      </c>
      <c r="B78" s="4">
        <f>('Q1-5'!B80-'Q1-5'!B79)/'Q1-5'!B79</f>
        <v>2.1567625858448006E-3</v>
      </c>
      <c r="C78" s="4">
        <f>('Q1-5'!D80-'Q1-5'!D79)/'Q1-5'!D79</f>
        <v>2.4327784891165081E-2</v>
      </c>
    </row>
    <row r="79" spans="1:3" x14ac:dyDescent="0.2">
      <c r="A79" s="3">
        <v>45636</v>
      </c>
      <c r="B79" s="4">
        <f>('Q1-5'!B81-'Q1-5'!B80)/'Q1-5'!B80</f>
        <v>-5.097128617545482E-3</v>
      </c>
      <c r="C79" s="4">
        <f>('Q1-5'!D81-'Q1-5'!D80)/'Q1-5'!D80</f>
        <v>-1.4374999999999952E-2</v>
      </c>
    </row>
    <row r="80" spans="1:3" x14ac:dyDescent="0.2">
      <c r="A80" s="3">
        <v>45637</v>
      </c>
      <c r="B80" s="4">
        <f>('Q1-5'!B82-'Q1-5'!B81)/'Q1-5'!B81</f>
        <v>-7.4002390846472539E-3</v>
      </c>
      <c r="C80" s="4">
        <f>('Q1-5'!D82-'Q1-5'!D81)/'Q1-5'!D81</f>
        <v>-5.2138378073698938E-3</v>
      </c>
    </row>
    <row r="81" spans="1:3" x14ac:dyDescent="0.2">
      <c r="A81" s="3">
        <v>45638</v>
      </c>
      <c r="B81" s="4">
        <f>('Q1-5'!B83-'Q1-5'!B82)/'Q1-5'!B82</f>
        <v>-6.7672191317314145E-3</v>
      </c>
      <c r="C81" s="4">
        <f>('Q1-5'!D83-'Q1-5'!D82)/'Q1-5'!D82</f>
        <v>-1.98314328210214E-3</v>
      </c>
    </row>
    <row r="82" spans="1:3" x14ac:dyDescent="0.2">
      <c r="A82" s="3">
        <v>45639</v>
      </c>
      <c r="B82" s="4">
        <f>('Q1-5'!B84-'Q1-5'!B83)/'Q1-5'!B83</f>
        <v>1.0393209769617578E-3</v>
      </c>
      <c r="C82" s="4">
        <f>('Q1-5'!D84-'Q1-5'!D83)/'Q1-5'!D83</f>
        <v>-1.3554751259669269E-2</v>
      </c>
    </row>
    <row r="83" spans="1:3" x14ac:dyDescent="0.2">
      <c r="A83" s="3">
        <v>45642</v>
      </c>
      <c r="B83" s="4">
        <f>('Q1-5'!B85-'Q1-5'!B84)/'Q1-5'!B84</f>
        <v>-1.0036338466862832E-2</v>
      </c>
      <c r="C83" s="4">
        <f>('Q1-5'!D85-'Q1-5'!D84)/'Q1-5'!D84</f>
        <v>-9.5683453237410971E-3</v>
      </c>
    </row>
    <row r="84" spans="1:3" x14ac:dyDescent="0.2">
      <c r="A84" s="3">
        <v>45643</v>
      </c>
      <c r="B84" s="4">
        <f>('Q1-5'!B86-'Q1-5'!B85)/'Q1-5'!B85</f>
        <v>2.1849327040727146E-2</v>
      </c>
      <c r="C84" s="4">
        <f>('Q1-5'!D86-'Q1-5'!D85)/'Q1-5'!D85</f>
        <v>-8.7891334350256381E-3</v>
      </c>
    </row>
    <row r="85" spans="1:3" x14ac:dyDescent="0.2">
      <c r="A85" s="3">
        <v>45644</v>
      </c>
      <c r="B85" s="4">
        <f>('Q1-5'!B87-'Q1-5'!B86)/'Q1-5'!B86</f>
        <v>-1.3456494469152614E-2</v>
      </c>
      <c r="C85" s="4">
        <f>('Q1-5'!D87-'Q1-5'!D86)/'Q1-5'!D86</f>
        <v>-2.528213395866933E-2</v>
      </c>
    </row>
    <row r="86" spans="1:3" x14ac:dyDescent="0.2">
      <c r="A86" s="3">
        <v>45645</v>
      </c>
      <c r="B86" s="4">
        <f>('Q1-5'!B88-'Q1-5'!B87)/'Q1-5'!B87</f>
        <v>-8.6695179748006012E-3</v>
      </c>
      <c r="C86" s="4">
        <f>('Q1-5'!D88-'Q1-5'!D87)/'Q1-5'!D87</f>
        <v>1.3532817081422963E-3</v>
      </c>
    </row>
    <row r="87" spans="1:3" x14ac:dyDescent="0.2">
      <c r="A87" s="3">
        <v>45646</v>
      </c>
      <c r="B87" s="4">
        <f>('Q1-5'!B89-'Q1-5'!B88)/'Q1-5'!B88</f>
        <v>2.3670708955223892E-2</v>
      </c>
      <c r="C87" s="4">
        <f>('Q1-5'!D89-'Q1-5'!D88)/'Q1-5'!D88</f>
        <v>9.9106539529994226E-3</v>
      </c>
    </row>
    <row r="88" spans="1:3" x14ac:dyDescent="0.2">
      <c r="A88" s="3">
        <v>45649</v>
      </c>
      <c r="B88" s="4">
        <f>('Q1-5'!B90-'Q1-5'!B89)/'Q1-5'!B89</f>
        <v>1.6004100694839807E-2</v>
      </c>
      <c r="C88" s="4">
        <f>('Q1-5'!D90-'Q1-5'!D89)/'Q1-5'!D89</f>
        <v>6.6909523455507705E-4</v>
      </c>
    </row>
    <row r="89" spans="1:3" x14ac:dyDescent="0.2">
      <c r="A89" s="3">
        <v>45650</v>
      </c>
      <c r="B89" s="4">
        <f>('Q1-5'!B91-'Q1-5'!B90)/'Q1-5'!B90</f>
        <v>9.0251695722855189E-3</v>
      </c>
      <c r="C89" s="4">
        <f>('Q1-5'!D91-'Q1-5'!D90)/'Q1-5'!D90</f>
        <v>1.1144130757800892E-2</v>
      </c>
    </row>
    <row r="90" spans="1:3" x14ac:dyDescent="0.2">
      <c r="A90" s="3">
        <v>45652</v>
      </c>
      <c r="B90" s="4">
        <f>('Q1-5'!B92-'Q1-5'!B91)/'Q1-5'!B91</f>
        <v>-4.4444444444445078E-3</v>
      </c>
      <c r="C90" s="4">
        <f>('Q1-5'!D92-'Q1-5'!D91)/'Q1-5'!D91</f>
        <v>-1.9838354151357957E-3</v>
      </c>
    </row>
    <row r="91" spans="1:3" x14ac:dyDescent="0.2">
      <c r="A91" s="3">
        <v>45653</v>
      </c>
      <c r="B91" s="4">
        <f>('Q1-5'!B93-'Q1-5'!B92)/'Q1-5'!B92</f>
        <v>-6.6406249999999877E-3</v>
      </c>
      <c r="C91" s="4">
        <f>('Q1-5'!D93-'Q1-5'!D92)/'Q1-5'!D92</f>
        <v>-2.1350217183245266E-3</v>
      </c>
    </row>
    <row r="92" spans="1:3" x14ac:dyDescent="0.2">
      <c r="A92" s="3">
        <v>45656</v>
      </c>
      <c r="B92" s="4">
        <f>('Q1-5'!B94-'Q1-5'!B93)/'Q1-5'!B93</f>
        <v>-1.0167968091680257E-2</v>
      </c>
      <c r="C92" s="4">
        <f>('Q1-5'!D94-'Q1-5'!D93)/'Q1-5'!D93</f>
        <v>-8.2632433230043125E-3</v>
      </c>
    </row>
    <row r="93" spans="1:3" x14ac:dyDescent="0.2">
      <c r="A93" s="3">
        <v>45657</v>
      </c>
      <c r="B93" s="4">
        <f>('Q1-5'!B95-'Q1-5'!B94)/'Q1-5'!B94</f>
        <v>8.5130533484676502E-3</v>
      </c>
      <c r="C93" s="4">
        <f>('Q1-5'!D95-'Q1-5'!D94)/'Q1-5'!D94</f>
        <v>-5.9514953131962578E-4</v>
      </c>
    </row>
    <row r="94" spans="1:3" x14ac:dyDescent="0.2">
      <c r="A94" s="3">
        <v>45659</v>
      </c>
      <c r="B94" s="4">
        <f>('Q1-5'!B96-'Q1-5'!B95)/'Q1-5'!B95</f>
        <v>9.7917839054586907E-3</v>
      </c>
      <c r="C94" s="4">
        <f>('Q1-5'!D96-'Q1-5'!D95)/'Q1-5'!D95</f>
        <v>-6.7738573768050961E-3</v>
      </c>
    </row>
    <row r="95" spans="1:3" x14ac:dyDescent="0.2">
      <c r="A95" s="3">
        <v>45660</v>
      </c>
      <c r="B95" s="4">
        <f>('Q1-5'!B97-'Q1-5'!B96)/'Q1-5'!B96</f>
        <v>9.9197503343736136E-3</v>
      </c>
      <c r="C95" s="4">
        <f>('Q1-5'!D97-'Q1-5'!D96)/'Q1-5'!D96</f>
        <v>1.6937720152889087E-2</v>
      </c>
    </row>
    <row r="96" spans="1:3" x14ac:dyDescent="0.2">
      <c r="A96" s="3">
        <v>45663</v>
      </c>
      <c r="B96" s="4">
        <f>('Q1-5'!B98-'Q1-5'!B97)/'Q1-5'!B97</f>
        <v>-6.1803332965456601E-3</v>
      </c>
      <c r="C96" s="4">
        <f>('Q1-5'!D98-'Q1-5'!D97)/'Q1-5'!D97</f>
        <v>5.4536074876557527E-3</v>
      </c>
    </row>
    <row r="97" spans="1:3" x14ac:dyDescent="0.2">
      <c r="A97" s="3">
        <v>45664</v>
      </c>
      <c r="B97" s="4">
        <f>('Q1-5'!B99-'Q1-5'!B98)/'Q1-5'!B98</f>
        <v>-3.1649083842309449E-3</v>
      </c>
      <c r="C97" s="4">
        <f>('Q1-5'!D99-'Q1-5'!D98)/'Q1-5'!D98</f>
        <v>7.1831708568495913E-3</v>
      </c>
    </row>
    <row r="98" spans="1:3" x14ac:dyDescent="0.2">
      <c r="A98" s="3">
        <v>45665</v>
      </c>
      <c r="B98" s="4">
        <f>('Q1-5'!B100-'Q1-5'!B99)/'Q1-5'!B99</f>
        <v>-5.7372026959282632E-3</v>
      </c>
      <c r="C98" s="4">
        <f>('Q1-5'!D100-'Q1-5'!D99)/'Q1-5'!D99</f>
        <v>-2.9837711956917008E-3</v>
      </c>
    </row>
    <row r="99" spans="1:3" x14ac:dyDescent="0.2">
      <c r="A99" s="3">
        <v>45667</v>
      </c>
      <c r="B99" s="4">
        <f>('Q1-5'!B101-'Q1-5'!B100)/'Q1-5'!B100</f>
        <v>-1.865546218487402E-2</v>
      </c>
      <c r="C99" s="4">
        <f>('Q1-5'!D101-'Q1-5'!D100)/'Q1-5'!D100</f>
        <v>3.4306569343065612E-3</v>
      </c>
    </row>
    <row r="100" spans="1:3" x14ac:dyDescent="0.2">
      <c r="A100" s="3">
        <v>45670</v>
      </c>
      <c r="B100" s="4">
        <f>('Q1-5'!B102-'Q1-5'!B101)/'Q1-5'!B101</f>
        <v>8.9627219272707757E-3</v>
      </c>
      <c r="C100" s="4">
        <f>('Q1-5'!D102-'Q1-5'!D101)/'Q1-5'!D101</f>
        <v>3.2588928493489412E-2</v>
      </c>
    </row>
    <row r="101" spans="1:3" x14ac:dyDescent="0.2">
      <c r="A101" s="3">
        <v>45671</v>
      </c>
      <c r="B101" s="4">
        <f>('Q1-5'!B103-'Q1-5'!B102)/'Q1-5'!B102</f>
        <v>-6.7330542039153425E-3</v>
      </c>
      <c r="C101" s="4">
        <f>('Q1-5'!D103-'Q1-5'!D102)/'Q1-5'!D102</f>
        <v>1.0426206410708124E-2</v>
      </c>
    </row>
    <row r="102" spans="1:3" x14ac:dyDescent="0.2">
      <c r="A102" s="3">
        <v>45672</v>
      </c>
      <c r="B102" s="4">
        <f>('Q1-5'!B104-'Q1-5'!B103)/'Q1-5'!B103</f>
        <v>-2.3924807747080699E-2</v>
      </c>
      <c r="C102" s="4">
        <f>('Q1-5'!D104-'Q1-5'!D103)/'Q1-5'!D103</f>
        <v>-8.3664505333613404E-3</v>
      </c>
    </row>
    <row r="103" spans="1:3" x14ac:dyDescent="0.2">
      <c r="A103" s="3">
        <v>45673</v>
      </c>
      <c r="B103" s="4">
        <f>('Q1-5'!B105-'Q1-5'!B104)/'Q1-5'!B104</f>
        <v>1.3714619200466849E-2</v>
      </c>
      <c r="C103" s="4">
        <f>('Q1-5'!D105-'Q1-5'!D104)/'Q1-5'!D104</f>
        <v>1.7506855093862121E-2</v>
      </c>
    </row>
    <row r="104" spans="1:3" x14ac:dyDescent="0.2">
      <c r="A104" s="3">
        <v>45674</v>
      </c>
      <c r="B104" s="4">
        <f>('Q1-5'!B106-'Q1-5'!B105)/'Q1-5'!B105</f>
        <v>-1.232009211283815E-2</v>
      </c>
      <c r="C104" s="4">
        <f>('Q1-5'!D106-'Q1-5'!D105)/'Q1-5'!D105</f>
        <v>1.8242122719734761E-2</v>
      </c>
    </row>
    <row r="105" spans="1:3" x14ac:dyDescent="0.2">
      <c r="A105" s="3">
        <v>45678</v>
      </c>
      <c r="B105" s="4">
        <f>('Q1-5'!B107-'Q1-5'!B106)/'Q1-5'!B106</f>
        <v>6.12030776404763E-3</v>
      </c>
      <c r="C105" s="4">
        <f>('Q1-5'!D107-'Q1-5'!D106)/'Q1-5'!D106</f>
        <v>3.5355591748099748E-2</v>
      </c>
    </row>
    <row r="106" spans="1:3" x14ac:dyDescent="0.2">
      <c r="A106" s="3">
        <v>45679</v>
      </c>
      <c r="B106" s="4">
        <f>('Q1-5'!B108-'Q1-5'!B107)/'Q1-5'!B107</f>
        <v>-1.9755518220265483E-2</v>
      </c>
      <c r="C106" s="4">
        <f>('Q1-5'!D108-'Q1-5'!D107)/'Q1-5'!D107</f>
        <v>1.9663105459789696E-4</v>
      </c>
    </row>
    <row r="107" spans="1:3" x14ac:dyDescent="0.2">
      <c r="A107" s="3">
        <v>45680</v>
      </c>
      <c r="B107" s="4">
        <f>('Q1-5'!B109-'Q1-5'!B108)/'Q1-5'!B108</f>
        <v>8.687943262411341E-3</v>
      </c>
      <c r="C107" s="4">
        <f>('Q1-5'!D109-'Q1-5'!D108)/'Q1-5'!D108</f>
        <v>-9.8296199213634126E-4</v>
      </c>
    </row>
    <row r="108" spans="1:3" x14ac:dyDescent="0.2">
      <c r="A108" s="3">
        <v>45681</v>
      </c>
      <c r="B108" s="4">
        <f>('Q1-5'!B110-'Q1-5'!B109)/'Q1-5'!B109</f>
        <v>-2.1679264076872101E-3</v>
      </c>
      <c r="C108" s="4">
        <f>('Q1-5'!D110-'Q1-5'!D109)/'Q1-5'!D109</f>
        <v>-6.6251229911445785E-3</v>
      </c>
    </row>
    <row r="109" spans="1:3" x14ac:dyDescent="0.2">
      <c r="A109" s="3">
        <v>45684</v>
      </c>
      <c r="B109" s="4">
        <f>('Q1-5'!B111-'Q1-5'!B110)/'Q1-5'!B110</f>
        <v>3.8755137991779175E-2</v>
      </c>
      <c r="C109" s="4">
        <f>('Q1-5'!D111-'Q1-5'!D110)/'Q1-5'!D110</f>
        <v>-3.1695721077653841E-3</v>
      </c>
    </row>
    <row r="110" spans="1:3" x14ac:dyDescent="0.2">
      <c r="A110" s="3">
        <v>45685</v>
      </c>
      <c r="B110" s="4">
        <f>('Q1-5'!B112-'Q1-5'!B111)/'Q1-5'!B111</f>
        <v>-1.1814584511023195E-2</v>
      </c>
      <c r="C110" s="4">
        <f>('Q1-5'!D112-'Q1-5'!D111)/'Q1-5'!D111</f>
        <v>-4.107048224695313E-3</v>
      </c>
    </row>
    <row r="111" spans="1:3" x14ac:dyDescent="0.2">
      <c r="A111" s="3">
        <v>45686</v>
      </c>
      <c r="B111" s="4">
        <f>('Q1-5'!B113-'Q1-5'!B112)/'Q1-5'!B112</f>
        <v>2.5742234425947521E-3</v>
      </c>
      <c r="C111" s="4">
        <f>('Q1-5'!D113-'Q1-5'!D112)/'Q1-5'!D112</f>
        <v>-2.1617666622322736E-2</v>
      </c>
    </row>
    <row r="112" spans="1:3" x14ac:dyDescent="0.2">
      <c r="A112" s="3">
        <v>45687</v>
      </c>
      <c r="B112" s="4">
        <f>('Q1-5'!B114-'Q1-5'!B113)/'Q1-5'!B113</f>
        <v>2.2252653200959421E-3</v>
      </c>
      <c r="C112" s="4">
        <f>('Q1-5'!D114-'Q1-5'!D113)/'Q1-5'!D113</f>
        <v>2.9165816846828417E-2</v>
      </c>
    </row>
    <row r="113" spans="1:3" x14ac:dyDescent="0.2">
      <c r="A113" s="3">
        <v>45688</v>
      </c>
      <c r="B113" s="4">
        <f>('Q1-5'!B115-'Q1-5'!B114)/'Q1-5'!B114</f>
        <v>4.6968403074295471E-2</v>
      </c>
      <c r="C113" s="4">
        <f>('Q1-5'!D115-'Q1-5'!D114)/'Q1-5'!D114</f>
        <v>9.248249438500118E-4</v>
      </c>
    </row>
    <row r="114" spans="1:3" x14ac:dyDescent="0.2">
      <c r="A114" s="3">
        <v>45691</v>
      </c>
      <c r="B114" s="4">
        <f>('Q1-5'!B116-'Q1-5'!B115)/'Q1-5'!B115</f>
        <v>3.3931484502446874E-2</v>
      </c>
      <c r="C114" s="4">
        <f>('Q1-5'!D116-'Q1-5'!D115)/'Q1-5'!D115</f>
        <v>-1.9073389651531249E-2</v>
      </c>
    </row>
    <row r="115" spans="1:3" x14ac:dyDescent="0.2">
      <c r="A115" s="3">
        <v>45692</v>
      </c>
      <c r="B115" s="4">
        <f>('Q1-5'!B117-'Q1-5'!B116)/'Q1-5'!B116</f>
        <v>-9.9926370043124926E-4</v>
      </c>
      <c r="C115" s="4">
        <f>('Q1-5'!D117-'Q1-5'!D116)/'Q1-5'!D116</f>
        <v>-1.0697705712171187E-2</v>
      </c>
    </row>
    <row r="116" spans="1:3" x14ac:dyDescent="0.2">
      <c r="A116" s="3">
        <v>45693</v>
      </c>
      <c r="B116" s="4">
        <f>('Q1-5'!B118-'Q1-5'!B117)/'Q1-5'!B117</f>
        <v>9.4761779415636297E-3</v>
      </c>
      <c r="C116" s="4">
        <f>('Q1-5'!D118-'Q1-5'!D117)/'Q1-5'!D117</f>
        <v>6.4608269858543056E-3</v>
      </c>
    </row>
    <row r="117" spans="1:3" x14ac:dyDescent="0.2">
      <c r="A117" s="3">
        <v>45694</v>
      </c>
      <c r="B117" s="4">
        <f>('Q1-5'!B119-'Q1-5'!B118)/'Q1-5'!B118</f>
        <v>6.3624511082138145E-3</v>
      </c>
      <c r="C117" s="4">
        <f>('Q1-5'!D119-'Q1-5'!D118)/'Q1-5'!D118</f>
        <v>-2.3650246638287904E-3</v>
      </c>
    </row>
    <row r="118" spans="1:3" x14ac:dyDescent="0.2">
      <c r="A118" s="3">
        <v>45695</v>
      </c>
      <c r="B118" s="4">
        <f>('Q1-5'!B120-'Q1-5'!B119)/'Q1-5'!B119</f>
        <v>-1.2281701818935609E-2</v>
      </c>
      <c r="C118" s="4">
        <f>('Q1-5'!D120-'Q1-5'!D119)/'Q1-5'!D119</f>
        <v>-1.6458954212950277E-2</v>
      </c>
    </row>
    <row r="119" spans="1:3" x14ac:dyDescent="0.2">
      <c r="A119" s="3">
        <v>45698</v>
      </c>
      <c r="B119" s="4">
        <f>('Q1-5'!B121-'Q1-5'!B120)/'Q1-5'!B120</f>
        <v>-1.3641133263378328E-3</v>
      </c>
      <c r="C119" s="4">
        <f>('Q1-5'!D121-'Q1-5'!D120)/'Q1-5'!D120</f>
        <v>-1.046759865023077E-2</v>
      </c>
    </row>
    <row r="120" spans="1:3" x14ac:dyDescent="0.2">
      <c r="A120" s="3">
        <v>45699</v>
      </c>
      <c r="B120" s="4">
        <f>('Q1-5'!B122-'Q1-5'!B121)/'Q1-5'!B121</f>
        <v>7.8280970894189818E-3</v>
      </c>
      <c r="C120" s="4">
        <f>('Q1-5'!D122-'Q1-5'!D121)/'Q1-5'!D121</f>
        <v>-1.3501287493910486E-2</v>
      </c>
    </row>
    <row r="121" spans="1:3" x14ac:dyDescent="0.2">
      <c r="A121" s="3">
        <v>45700</v>
      </c>
      <c r="B121" s="4">
        <f>('Q1-5'!B123-'Q1-5'!B122)/'Q1-5'!B122</f>
        <v>6.0991502893186023E-3</v>
      </c>
      <c r="C121" s="4">
        <f>('Q1-5'!D123-'Q1-5'!D122)/'Q1-5'!D122</f>
        <v>-2.5890652557319135E-2</v>
      </c>
    </row>
    <row r="122" spans="1:3" x14ac:dyDescent="0.2">
      <c r="A122" s="3">
        <v>45701</v>
      </c>
      <c r="B122" s="4">
        <f>('Q1-5'!B124-'Q1-5'!B123)/'Q1-5'!B123</f>
        <v>2.3316062176165215E-3</v>
      </c>
      <c r="C122" s="4">
        <f>('Q1-5'!D124-'Q1-5'!D123)/'Q1-5'!D123</f>
        <v>-1.1804750869061586E-2</v>
      </c>
    </row>
    <row r="123" spans="1:3" x14ac:dyDescent="0.2">
      <c r="A123" s="3">
        <v>45702</v>
      </c>
      <c r="B123" s="4">
        <f>('Q1-5'!B125-'Q1-5'!B124)/'Q1-5'!B124</f>
        <v>-2.9981907469629576E-3</v>
      </c>
      <c r="C123" s="4">
        <f>('Q1-5'!D125-'Q1-5'!D124)/'Q1-5'!D124</f>
        <v>-1.3045071454745337E-2</v>
      </c>
    </row>
    <row r="124" spans="1:3" x14ac:dyDescent="0.2">
      <c r="A124" s="3">
        <v>45706</v>
      </c>
      <c r="B124" s="4">
        <f>('Q1-5'!B126-'Q1-5'!B125)/'Q1-5'!B125</f>
        <v>1.7524757608751985E-2</v>
      </c>
      <c r="C124" s="4">
        <f>('Q1-5'!D126-'Q1-5'!D125)/'Q1-5'!D125</f>
        <v>3.9355461498477851E-3</v>
      </c>
    </row>
    <row r="125" spans="1:3" x14ac:dyDescent="0.2">
      <c r="A125" s="3">
        <v>45707</v>
      </c>
      <c r="B125" s="4">
        <f>('Q1-5'!B127-'Q1-5'!B126)/'Q1-5'!B126</f>
        <v>5.6050955414012451E-3</v>
      </c>
      <c r="C125" s="4">
        <f>('Q1-5'!D127-'Q1-5'!D126)/'Q1-5'!D126</f>
        <v>1.4423076923077051E-2</v>
      </c>
    </row>
    <row r="126" spans="1:3" x14ac:dyDescent="0.2">
      <c r="A126" s="3">
        <v>45708</v>
      </c>
      <c r="B126" s="4">
        <f>('Q1-5'!B128-'Q1-5'!B127)/'Q1-5'!B127</f>
        <v>1.7887002786926787E-2</v>
      </c>
      <c r="C126" s="4">
        <f>('Q1-5'!D128-'Q1-5'!D127)/'Q1-5'!D127</f>
        <v>-2.6248632883704966E-3</v>
      </c>
    </row>
  </sheetData>
  <mergeCells count="1">
    <mergeCell ref="E10:F10"/>
  </mergeCell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Q1-5</vt:lpstr>
      <vt:lpstr>Q6-7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HABIB</dc:creator>
  <cp:lastModifiedBy>Asif Shah</cp:lastModifiedBy>
  <dcterms:created xsi:type="dcterms:W3CDTF">2025-03-04T18:07:56Z</dcterms:created>
  <dcterms:modified xsi:type="dcterms:W3CDTF">2025-03-10T18:44:51Z</dcterms:modified>
</cp:coreProperties>
</file>